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.Yevtushenko\Downloads\CRM Sendouts\"/>
    </mc:Choice>
  </mc:AlternateContent>
  <xr:revisionPtr revIDLastSave="0" documentId="13_ncr:1_{BB774B47-B7FB-495D-A9D9-42F38C056BDE}" xr6:coauthVersionLast="47" xr6:coauthVersionMax="47" xr10:uidLastSave="{00000000-0000-0000-0000-000000000000}"/>
  <bookViews>
    <workbookView xWindow="7020" yWindow="-163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Export!$A$1:$V$154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F2" i="1"/>
  <c r="E2" i="1"/>
</calcChain>
</file>

<file path=xl/sharedStrings.xml><?xml version="1.0" encoding="utf-8"?>
<sst xmlns="http://schemas.openxmlformats.org/spreadsheetml/2006/main" count="482" uniqueCount="402">
  <si>
    <t>Date</t>
  </si>
  <si>
    <t>Target Group Name</t>
  </si>
  <si>
    <t>Action Name</t>
  </si>
  <si>
    <t>Template Name</t>
  </si>
  <si>
    <t>Sent</t>
  </si>
  <si>
    <t>Delivered</t>
  </si>
  <si>
    <t>Delivery Rate</t>
  </si>
  <si>
    <t>Unique Opens</t>
  </si>
  <si>
    <t>Gross Opens</t>
  </si>
  <si>
    <t>Unique Clicks</t>
  </si>
  <si>
    <t>Gross Clicks</t>
  </si>
  <si>
    <t>Open Rate</t>
  </si>
  <si>
    <t>Click Rate</t>
  </si>
  <si>
    <t>Click to Open Rate</t>
  </si>
  <si>
    <t>Unsubscribes</t>
  </si>
  <si>
    <t>Unsubcribe Rate</t>
  </si>
  <si>
    <t>Spam Reports</t>
  </si>
  <si>
    <t>Bounced</t>
  </si>
  <si>
    <t>Bounce Rate</t>
  </si>
  <si>
    <t>Dropped</t>
  </si>
  <si>
    <t>Poker - Weekly LB Schedule - EE</t>
  </si>
  <si>
    <t>Baltics - LB Weekly Schedule - Poker</t>
  </si>
  <si>
    <t>EE Weekly Tournament Schedule</t>
  </si>
  <si>
    <t>Poker - Weekly LB Schedule - EU</t>
  </si>
  <si>
    <t>EU- Weekly Tournament Schedule</t>
  </si>
  <si>
    <t>Poker - Weekly LB Schedule - LV</t>
  </si>
  <si>
    <t>LV Weekly Tournament Schedule</t>
  </si>
  <si>
    <t>VIP_Casino_Top_Losers_Casino_Email_100€_Estonia_05.07.26</t>
  </si>
  <si>
    <t>VIP / Casino / Top Losers / 100 PB</t>
  </si>
  <si>
    <t>VIP / Top Loser / EE / 100 Play Bonus - SET 1</t>
  </si>
  <si>
    <t>VIP_Casino_Top_Losers_Casino_Email_100€_Latvia_05.07.26</t>
  </si>
  <si>
    <t>VIP / Casino / Top Losers / 100 FS</t>
  </si>
  <si>
    <t>VIP / Top Loser / LV / 100 FS - SET 1</t>
  </si>
  <si>
    <t>VIP_Casino_Top_Losers_Casino_Email_25€_Estonia_05.07.26</t>
  </si>
  <si>
    <t>VIP / Casino / Top Losers / 25 PB</t>
  </si>
  <si>
    <t>VIP / Top Loser / EE / 25 Play Bonus - SET 1</t>
  </si>
  <si>
    <t>VIP_Casino_Top_Losers_Casino_Email_25€_Latvia_05.07.26</t>
  </si>
  <si>
    <t>VIP / Casino / Top Losers / 25 FS</t>
  </si>
  <si>
    <t>VIP / Top Loser / LV / 25 FS - SET 1</t>
  </si>
  <si>
    <t>VIP_Casino_Top_Losers_Casino_Email_250€_Estonia_05.07.26</t>
  </si>
  <si>
    <t>VIP / Casino / Top Losers / 250 PB</t>
  </si>
  <si>
    <t>VIP / Top Loser / EE / 250 Play Bonus - SET 1</t>
  </si>
  <si>
    <t>VIP_Casino_Top_Losers_Casino_Email_250€_Latvia_05.07.26</t>
  </si>
  <si>
    <t>VIP / Casino / Top Losers / 250 FS</t>
  </si>
  <si>
    <t>VIP / Top Loser / LV / 250 FS - SET 1</t>
  </si>
  <si>
    <t>VIP_Casino_Top_Losers_Casino_Email_50€_Estonia_05.07.26</t>
  </si>
  <si>
    <t>VIP / Casino / Top Losers / 50 PB</t>
  </si>
  <si>
    <t>VIP / Top Loser / EE / 50 Play Bonus - SET 1</t>
  </si>
  <si>
    <t>VIP_Casino_Top_Losers_Casino_Email_50€_Latvia_05.07.26</t>
  </si>
  <si>
    <t>VIP / Casino / Top Losers / 50 FS</t>
  </si>
  <si>
    <t>VIP / Top Loser / LV / 50 FS - SET 1</t>
  </si>
  <si>
    <t>VIP_Sport_Top_Losers_100€_Estonia_04.07.26</t>
  </si>
  <si>
    <t>VIP / Sport / Top Losers / 100 FB / Estonia</t>
  </si>
  <si>
    <t>VIP / SPORT / EE / TOP LOSERS / FREEBET 100 EUR</t>
  </si>
  <si>
    <t>VIP_Sport_Top_Losers_25€_Estonia_04.07.26</t>
  </si>
  <si>
    <t>VIP / Sport / Top Losers / 25 FB / Estonia</t>
  </si>
  <si>
    <t>VIP / SPORT / EE / TOP LOSERS / FREEBET 25 EUR</t>
  </si>
  <si>
    <t>VIP_Sport_Top_Losers_25€_Latvia_04.07.26</t>
  </si>
  <si>
    <t>VIP / Sport / Top Losers / 25 FB / Latvia</t>
  </si>
  <si>
    <t>VIP / SPORT / LV / TOP LOSERS / FREEBET 25 EUR</t>
  </si>
  <si>
    <t>VIP_Sport_Top_Losers_250€_Estonia_04.07.26</t>
  </si>
  <si>
    <t>VIP / Sport / Top Losers / 250 FB / Estonia</t>
  </si>
  <si>
    <t>VIP / SPORT / EE / TOP LOSERS / FREEBET 250 EUR</t>
  </si>
  <si>
    <t>VIP_Sport_Top_Losers_250€_Latvia_04.07.26</t>
  </si>
  <si>
    <t>VIP / Sport / Top Losers / 250 FB / Latvia</t>
  </si>
  <si>
    <t>VIP / SPORT / LV / TOP LOSERS / FREEBET 250 EUR</t>
  </si>
  <si>
    <t>VIP_Sport_Top_Losers_50€_Estonia_04.07.26</t>
  </si>
  <si>
    <t>VIP / Sport / Top Losers / 50 FB / Estonia</t>
  </si>
  <si>
    <t>VIP / SPORT / EE / TOP LOSERS / FREEBET 50 EUR</t>
  </si>
  <si>
    <t>VIP_Sport_Top_Losers_50€_Latvia_04.07.26</t>
  </si>
  <si>
    <t>VIP / Sport / Top Losers / 50 FB / Latvia</t>
  </si>
  <si>
    <t>VIP / SPORT / LV / TOP LOSERS / FREEBET 50 EUR</t>
  </si>
  <si>
    <t>CRM_Retention_Sport_25CB100_EMAIL_Latvia_03.07.26</t>
  </si>
  <si>
    <t>CRM / Sport / Retention / 25 CB 100 / Latvia</t>
  </si>
  <si>
    <t>CRM / SPORT / LV / RETENTION / 25% up 100 EUR</t>
  </si>
  <si>
    <t>CRM_Retention_Sport_25CB50_EMAIL_Finland_03.07.26</t>
  </si>
  <si>
    <t>CRM / Sport / Retention / 25 CB 50 / FInland</t>
  </si>
  <si>
    <t>CRM / SPORT / EU / RETTENTION / 25% up 50 EUR</t>
  </si>
  <si>
    <t>CRM_Retention_Sport_50DB100_EMAIL_Estonia_03.07.26</t>
  </si>
  <si>
    <t>CRM / Sport / Retention / 50 DB 100 / Estonia</t>
  </si>
  <si>
    <t>CRM / SPORT / EE / RETENTION / 50% up 100 EUR</t>
  </si>
  <si>
    <t>CRM_Xsell_CA_to_SB_2€_Freebet_Sport_Estonia_03.07.26</t>
  </si>
  <si>
    <t>CRM / Casino / X-sell to Sport / 2 FB</t>
  </si>
  <si>
    <t>CRM / SPORT / EE / CASINO TO SPORT CROSS SELL / FREEBET 2 EUR</t>
  </si>
  <si>
    <t>CRM_Xsell_CA_to_SB_2€_Freebet_Sport_Finland_03.07.26</t>
  </si>
  <si>
    <t>CRM / SPORT / EU / CASINO TO SPORT CROSS SELL / FREEBET 2 EUR</t>
  </si>
  <si>
    <t>CRM_Xsell_CA_to_SB_2€_Freebet_Sport_Latvia_03.07.26</t>
  </si>
  <si>
    <t>CRM / SPORT / LV / CASINO TO SPORT CROSS SELL / FREEBET 2 EUR</t>
  </si>
  <si>
    <t>VIP&amp;CRM_Big_Winner_Casino_10_CB_500€_Estonia_03.07.26</t>
  </si>
  <si>
    <t>CRM / Casino / Big Winners / 10 CB 500 / Estonia</t>
  </si>
  <si>
    <t>CRM / Big Winner / EE / 10% Cashback up to 500 - SET 1</t>
  </si>
  <si>
    <t>VIP&amp;CRM_Big_Winner_Casino_10_CB_500€_Finland_03.07.26</t>
  </si>
  <si>
    <t>CRM / Casino / Big Winners / 10 CB 500 / Finland</t>
  </si>
  <si>
    <t>CRM / Big Winner / EU / 10% Cashback up to 500 - SET 1</t>
  </si>
  <si>
    <t>VIP&amp;CRM_Big_Winner_Casino_10_CB_500€_Latvia_03.07.26</t>
  </si>
  <si>
    <t>CRM / Casino / Big Winners / 10 CB 500 / Latvia</t>
  </si>
  <si>
    <t>CRM / Big Winner / LV / 10% Cashback up to 500 - SET 1</t>
  </si>
  <si>
    <t>VIP_Retention_Sport_25CB1000_EMAIL_Latvia_03.07.26</t>
  </si>
  <si>
    <t>VIP / Sport / Retention / 25 CB 1000 / Latvia</t>
  </si>
  <si>
    <t>VIP / SPORT / LV / RETENTION / 25% up 1000 EUR</t>
  </si>
  <si>
    <t>VIP_Retention_Sport_25CB250_Email_Finland_03.07.26</t>
  </si>
  <si>
    <t>VIP / Sport / Retention / 25 CB 250 / Finland</t>
  </si>
  <si>
    <t>VIP / SPORT / EU / RETENTION / 25% up 250 EUR</t>
  </si>
  <si>
    <t>VIP_Retention_Sport_50DB500_EMAIL_Estonia_03.07.26</t>
  </si>
  <si>
    <t>VIP / Sport / Retention / 50 DB 500 / Estonia</t>
  </si>
  <si>
    <t>VIP / SPORT / EE / RETENTION / 50% up 500 EUR</t>
  </si>
  <si>
    <t>X-sell Poker to Casino Sport EU T1 email 03.07.26</t>
  </si>
  <si>
    <t>Baltics - Poker - EU Cross Selling offer</t>
  </si>
  <si>
    <t>Poker | EU Cross Selling campaign SPORT #1</t>
  </si>
  <si>
    <t>X-sell Poker to Casino Sport EU T2 email 03.07.26</t>
  </si>
  <si>
    <t>Poker | EU Cross Selling campaign SPORT #2</t>
  </si>
  <si>
    <t>X-sell Poker to Casino Sport EU T3 email 03.07.26</t>
  </si>
  <si>
    <t>Poker | EU Cross Selling campaign SPORT #3</t>
  </si>
  <si>
    <t>X-sell Poker to Casino Sport EU T5 email 03.07.26</t>
  </si>
  <si>
    <t>Poker | EU Cross Selling campaign SPORT #5</t>
  </si>
  <si>
    <t>X-sell Poker to Casino Sport EU T7 email 03.07.26</t>
  </si>
  <si>
    <t>Poker | EU Cross Selling campaign SPORT #7</t>
  </si>
  <si>
    <t>CRM Casino Reactivation Offer 10 PlayBonus_Estonia _02.07.26</t>
  </si>
  <si>
    <t>CRM / Casino / Reactivation / 10 PB</t>
  </si>
  <si>
    <t>CRM / Reactivation / EE / Play Bonus 10 - SET 1</t>
  </si>
  <si>
    <t>CRM Casino Reactivation Offer 25 Freespins  Finland_02.07.26</t>
  </si>
  <si>
    <t>CRM / Casino / Reactivation / 25 FS</t>
  </si>
  <si>
    <t>CRM / Reactivation / EU / 25 FS - SET 1</t>
  </si>
  <si>
    <t>CRM Casino Reactivation Offer 25 Freespins Latvia_02.07.26</t>
  </si>
  <si>
    <t>CRM / Reactivation / LV / 25 FS - SET 1</t>
  </si>
  <si>
    <t>CRM Casino Reactivation Offer 25€ PlayBonus Estonia _02.07.26.</t>
  </si>
  <si>
    <t>CRM / Casino / Reactivation / 25 PB</t>
  </si>
  <si>
    <t>CRM / Reactivation / EE / Play Bonus 25 - SET 1</t>
  </si>
  <si>
    <t>CRM Casino Reactivation Offer 5 FreeSpins  Finland_02.07.26</t>
  </si>
  <si>
    <t>CRM / Casino / Reactivation / 5 FS</t>
  </si>
  <si>
    <t>CRM / Reactivation / EU / 5 FS - SET 1</t>
  </si>
  <si>
    <t>CRM Casino Reactivation Offer 5 FreeSpins Latvia_ 02.07.26</t>
  </si>
  <si>
    <t>CRM / Reactivation / LV / 5 FS - SET 1</t>
  </si>
  <si>
    <t>CRM Casino Reactivation Offer 5 PlayBonus Estonia _02.07.26</t>
  </si>
  <si>
    <t>CRM / Casino / Reactivation / 5 PB</t>
  </si>
  <si>
    <t>CRM / Reactivation / EE / Play Bonus 5 - SET 1</t>
  </si>
  <si>
    <t>CRM Casino Reactivation Offer10 FreeSpins   Finland_02.07.26</t>
  </si>
  <si>
    <t>CRM / Casino / Reactivation / 10 FS</t>
  </si>
  <si>
    <t>CRM / Reactivation / EU / 10 FS - SET 1</t>
  </si>
  <si>
    <t>CRM Casino Reactivation Offer10 FreeSpins Latvia_02.07.26</t>
  </si>
  <si>
    <t>CRM / Reactivation / LV / 10 FS - SET 1</t>
  </si>
  <si>
    <t>CRM_Retention_Casino_25CB200€_EMAIL_Latvia_02.07.26</t>
  </si>
  <si>
    <t>CRM / Casino / Retention / 25 CB 200 / Latvia</t>
  </si>
  <si>
    <t>CRM / RETENTION / LV / 25% CASHBACK UP TO 200 - SET 1</t>
  </si>
  <si>
    <t>CRM_Retention_Casino_25CB50€_EMAIL_Finland_02.07.26</t>
  </si>
  <si>
    <t>CRM / Casino / Retention / 25 CB 50 Finland</t>
  </si>
  <si>
    <t>CRM / RETENTION / EU / 25% CASHBACK UP TO 50 - SET 1</t>
  </si>
  <si>
    <t>CRM_Retention_Casino_25DB200€_EMAIL_Estonia_02.07.26</t>
  </si>
  <si>
    <t>CRM / Casino / Retention / 25 DB 200 / Estonia</t>
  </si>
  <si>
    <t>CRM / Retention / EE / 25% Deposit Bonus up to 200 - SET 1</t>
  </si>
  <si>
    <t>Lapsed customers reactivation EE email 02.07.26</t>
  </si>
  <si>
    <t>Baltics - Poker - Comms</t>
  </si>
  <si>
    <t>Lapsed customers reactivation EE</t>
  </si>
  <si>
    <t>Lapsed customers reactivation EU email 02.07.26</t>
  </si>
  <si>
    <t>Lapsed customers reactivation EU</t>
  </si>
  <si>
    <t>Lapsed customers reactivation LV email 02.07.26</t>
  </si>
  <si>
    <t>Lapsed customers reactivation LV</t>
  </si>
  <si>
    <t>VIP Casino Reactivation EMAIL Offer 100 PlayBonus Estonia _ 02.07.26</t>
  </si>
  <si>
    <t>VIP / Casino / Reactivation / 100 PB</t>
  </si>
  <si>
    <t>VIP / Reactivation / EE / 100 Play Bonus - SET 1</t>
  </si>
  <si>
    <t>VIP Casino Reactivation Offer 100 Freespins  Finland_02.07.26</t>
  </si>
  <si>
    <t>VIP / Casino / Reactivation / 100 FS</t>
  </si>
  <si>
    <t>VIP / Reactivation / EU / 100 FS - SET 1</t>
  </si>
  <si>
    <t>VIP Casino Reactivation Offer 100 Freespins Latvia_02.07.26</t>
  </si>
  <si>
    <t>VIP / Reactivation / LV / 100 FS - SET 1</t>
  </si>
  <si>
    <t>VIP_Retention_Casino_25CB1000_EMAIL_Latvia_02.07.26</t>
  </si>
  <si>
    <t>VIP / Casino / Retention / 25 CB 1000 / Latvia</t>
  </si>
  <si>
    <t>VIP / RETENTION / LV / 25% CASHBACK UP TO 1000 - SET 1</t>
  </si>
  <si>
    <t>VIP_Retention_Casino_25CB500_EMAIL_Finland_02.07.26</t>
  </si>
  <si>
    <t>VIP / Casino / Retention / 25 CB 500 / Finland</t>
  </si>
  <si>
    <t>VIP / RETENTION / EU / 25% CASHBACK UP TO 500 - SET 1</t>
  </si>
  <si>
    <t>VIP_Retention_Casino_25DB1000_EMAIL_Estonia_02.07.26</t>
  </si>
  <si>
    <t>VIP / Casino / Retention / 25 DB 1000 / Estonia</t>
  </si>
  <si>
    <t>VIP / Retention / EE / 25% Deposit Bonus up to 1000 - SET 1</t>
  </si>
  <si>
    <t>ALL - Campaign 3</t>
  </si>
  <si>
    <t>Baltics - Sport - FS Celebration</t>
  </si>
  <si>
    <t>CRM Free Spin Celebration OPTION 1 EE</t>
  </si>
  <si>
    <t>ALL - Campaign 4</t>
  </si>
  <si>
    <t>CRM Free Spin Celebration OPTION 1 LV</t>
  </si>
  <si>
    <t>ALL_Baltics_CRM&amp;VIP_Casino_Underperf_100PB_or_FS_01.07.26 - Campaign 4</t>
  </si>
  <si>
    <t>CRM / Casino / Underperformance / 100 PB / Estonia</t>
  </si>
  <si>
    <t>VIP / Underperforming MTD / EE / 100 Play Bonus - SET 1</t>
  </si>
  <si>
    <t>ALL_Baltics_CRM&amp;VIP_Casino_Underperf_100PB_or_FS_01.07.26 - Campaign 5</t>
  </si>
  <si>
    <t>CRM / Casino / Underperformance / 100 FS / Latvia</t>
  </si>
  <si>
    <t>VIP / Underperforming MTD / LV / 100 FS - SET 1</t>
  </si>
  <si>
    <t>ALL_Baltics_CRM&amp;VIP_Casino_Underperf_100PB_or_FS_01.07.26 - Campaign 6</t>
  </si>
  <si>
    <t>CRM / Casino / Underperformance / 100 FS / Finland</t>
  </si>
  <si>
    <t>VIP / Underperforming MTD / EU / 100 FS - SET 1</t>
  </si>
  <si>
    <t>ALL_Baltics_CRM&amp;VIP_Casino_Underperf_10PB_or_FS_01.07.26 - Campaign 4</t>
  </si>
  <si>
    <t>CRM / Casino / Underperformance / 10 PB / Estonia</t>
  </si>
  <si>
    <t>VIP / Underperforming MTD / EE / 10 Play Bonus - SET 1</t>
  </si>
  <si>
    <t>ALL_Baltics_CRM&amp;VIP_Casino_Underperf_10PB_or_FS_01.07.26 - Campaign 5</t>
  </si>
  <si>
    <t>CRM / Casino / Underperformance / 10 FS / Latvia</t>
  </si>
  <si>
    <t>VIP / Underperforming MTD / LV / 10 FS - SET 1</t>
  </si>
  <si>
    <t>ALL_Baltics_CRM&amp;VIP_Casino_Underperf_10PB_or_FS_01.07.26 - Campaign 6</t>
  </si>
  <si>
    <t>CRM / Casino / Underperformance / 10 FS / Finland</t>
  </si>
  <si>
    <t>VIP / Underperforming MTD / EU / 10 FS - SET 1</t>
  </si>
  <si>
    <t>ALL_Baltics_CRM&amp;VIP_Casino_Underperf_250PB_or_FS_01.07.26 - Campaign 4</t>
  </si>
  <si>
    <t>CRM / Casino / Underperformance / 250 PB / Estonia</t>
  </si>
  <si>
    <t>VIP / Underperforming MTD / EE / 250 Play Bonus - SET 1</t>
  </si>
  <si>
    <t>ALL_Baltics_CRM&amp;VIP_Casino_Underperf_250PB_or_FS_01.07.26 - Campaign 5</t>
  </si>
  <si>
    <t>CRM / Casino / Underperformance / 250 FS / Latvia</t>
  </si>
  <si>
    <t>VIP / Underperforming MTD / LV / 250 FS - SET 1</t>
  </si>
  <si>
    <t>ALL_Baltics_CRM&amp;VIP_Casino_Underperf_250PB_or_FS_01.07.26 - Campaign 6</t>
  </si>
  <si>
    <t>CRM / Casino / Underperformance / 250 FS / Finland</t>
  </si>
  <si>
    <t>VIP / Underperforming MTD / EU / 250 FS - SET 1</t>
  </si>
  <si>
    <t>ALL_Baltics_CRM&amp;VIP_Casino_Underperf_25PB_or_FS_01.07.26 - Campaign 4</t>
  </si>
  <si>
    <t>CRM / Casino / Underperformance / 25 PB / Estonia</t>
  </si>
  <si>
    <t>VIP / Underperforming MTD / EE / 25 Play Bonus - SET 1</t>
  </si>
  <si>
    <t>ALL_Baltics_CRM&amp;VIP_Casino_Underperf_25PB_or_FS_01.07.26 - Campaign 5</t>
  </si>
  <si>
    <t>CRM / Casino / Underperformance / 25 FS / Latvia</t>
  </si>
  <si>
    <t>VIP / Underperforming MTD / LV / 25 FS - SET 1</t>
  </si>
  <si>
    <t>ALL_Baltics_CRM&amp;VIP_Casino_Underperf_25PB_or_FS_01.07.26 - Campaign 6</t>
  </si>
  <si>
    <t>CRM / Casino / Underperformance / 25 FS / Finland</t>
  </si>
  <si>
    <t>VIP / Underperforming MTD / EU / 25 FS - SET 1</t>
  </si>
  <si>
    <t>ALL_Baltics_CRM&amp;VIP_Casino_Underperf_50PB_or_FS_01.07.26 - Campaign 4</t>
  </si>
  <si>
    <t>CRM / Casino / Underperformance / 50 PB / Estonia</t>
  </si>
  <si>
    <t>VIP / Underperforming MTD / EE / 50 Play Bonus - SET 1</t>
  </si>
  <si>
    <t>ALL_Baltics_CRM&amp;VIP_Casino_Underperf_50PB_or_FS_01.07.26 - Campaign 5</t>
  </si>
  <si>
    <t>CRM / Casino / Underperformance / 50 FS / Latvia</t>
  </si>
  <si>
    <t>VIP / Underperforming MTD / LV / 50 FS - SET 1</t>
  </si>
  <si>
    <t>ALL_Baltics_CRM&amp;VIP_Casino_Underperf_50PB_or_FS_01.07.26 - Campaign 6</t>
  </si>
  <si>
    <t>CRM / Casino / Underperformance / 50 FS / Finland</t>
  </si>
  <si>
    <t>VIP / Underperforming MTD / EU / 50 FS - SET 1</t>
  </si>
  <si>
    <t>ALL_Baltics_CRM&amp;VIP_Casino_Underperf_5PB_or_FS_01.07.26 - Campaign 4</t>
  </si>
  <si>
    <t>CRM / Casino / Underperformance / 5 PB / Estonia</t>
  </si>
  <si>
    <t>VIP / Underperforming MTD / EE / 5 Play Bonus - SET 1</t>
  </si>
  <si>
    <t>ALL_Baltics_CRM&amp;VIP_Casino_Underperf_5PB_or_FS_01.07.26 - Campaign 5</t>
  </si>
  <si>
    <t>CRM / Casino / Underperformance / 5 FS / Latvia</t>
  </si>
  <si>
    <t>VIP / Underperforming MTD / LV / 5 FS - SET 1</t>
  </si>
  <si>
    <t>ALL_Baltics_CRM&amp;VIP_Casino_Underperf_5PB_or_FS_01.07.26 - Campaign 6</t>
  </si>
  <si>
    <t>CRM / Casino / Underperformance / 5 FS / Finland</t>
  </si>
  <si>
    <t>VIP / Underperforming MTD / EU / 5 FS - SET 1</t>
  </si>
  <si>
    <t>ALL_Baltics_CRM&amp;VIP_Sport_Underperf_100fb_01.07.26 - Campaign 4</t>
  </si>
  <si>
    <t>VIP / Sport / Underperformance / 100 FB / Estonia</t>
  </si>
  <si>
    <t>VIP / SPORT / EE / UNDERPERF MTD / FREEBET 100 EUR</t>
  </si>
  <si>
    <t>ALL_Baltics_CRM&amp;VIP_Sport_Underperf_100fb_01.07.26 - Campaign 5</t>
  </si>
  <si>
    <t>VIP / Sport / Underperformance / 100 FB / Latvia</t>
  </si>
  <si>
    <t>VIP / SPORT / LV / UNDERPERF MTD / FREEBET 100 EUR</t>
  </si>
  <si>
    <t>ALL_Baltics_CRM&amp;VIP_Sport_Underperf_10fb_01.07.26 - Campaign 4</t>
  </si>
  <si>
    <t>CRM / Sport / Underperformance / 10 FB / Estonia</t>
  </si>
  <si>
    <t>CRM / SPORT / EE / UNDERPERF MTD / FREEBET 10 EUR</t>
  </si>
  <si>
    <t>ALL_Baltics_CRM&amp;VIP_Sport_Underperf_10fb_01.07.26 - Campaign 5</t>
  </si>
  <si>
    <t>CRM / Sport / Underperformance / 10 FB / Latvia</t>
  </si>
  <si>
    <t>CRM / SPORT / LV / UNDERPERF MTD / FREEBET 10 EUR</t>
  </si>
  <si>
    <t>ALL_Baltics_CRM&amp;VIP_Sport_Underperf_10fb_01.07.26 - Campaign 6</t>
  </si>
  <si>
    <t>CRM / Sport / Underperformance / 10 FB / Finland</t>
  </si>
  <si>
    <t>CRM / SPORT / EU / UNDERPERF MTD / FREEBET 10 EUR</t>
  </si>
  <si>
    <t>ALL_Baltics_CRM&amp;VIP_Sport_Underperf_250fb_01.07.26 - Campaign 5</t>
  </si>
  <si>
    <t>VIP / Sport / Underperformance / 250 FB / Latvia</t>
  </si>
  <si>
    <t>VIP / SPORT / LV / UNDERPERF MTD / FREEBET 250 EUR</t>
  </si>
  <si>
    <t>ALL_Baltics_CRM&amp;VIP_Sport_Underperf_25fb_01.07.26 - Campaign 4</t>
  </si>
  <si>
    <t>VIP / Sport / Underperformance / 25 FB / Estonia</t>
  </si>
  <si>
    <t>VIP / SPORT / EE / UNDERPERF MTD / FREEBET 25 EUR</t>
  </si>
  <si>
    <t>ALL_Baltics_CRM&amp;VIP_Sport_Underperf_25fb_01.07.26 - Campaign 5</t>
  </si>
  <si>
    <t>VIP / Sport / Underperformance / 25 FB / Latvia</t>
  </si>
  <si>
    <t>VIP / SPORT / LV / UNDERPERF MTD / FREEBET 25 EUR</t>
  </si>
  <si>
    <t>ALL_Baltics_CRM&amp;VIP_Sport_Underperf_50fb_01.07.26 - Campaign 4</t>
  </si>
  <si>
    <t>VIP / Sport / Underperformance / 50 FB / Estonia</t>
  </si>
  <si>
    <t>VIP / SPORT / EE / UNDERPERF MTD / FREEBET 50 EUR</t>
  </si>
  <si>
    <t>ALL_Baltics_CRM&amp;VIP_Sport_Underperf_50fb_01.07.26 - Campaign 5</t>
  </si>
  <si>
    <t>VIP / Sport / Underperformance / 50 FB / Latvia</t>
  </si>
  <si>
    <t>VIP / SPORT / LV / UNDERPERF MTD / FREEBET 50 EUR</t>
  </si>
  <si>
    <t>ALL_Baltics_CRM&amp;VIP_Sport_Underperf_5fb_01.07.26 - Campaign 4</t>
  </si>
  <si>
    <t>CRM / Sport / Underperformance / 5 FB / Estonia</t>
  </si>
  <si>
    <t>CRM / SPORT / EE / UNDERPERF MTD / FREEBET 5 EUR</t>
  </si>
  <si>
    <t>ALL_Baltics_CRM&amp;VIP_Sport_Underperf_5fb_01.07.26 - Campaign 5</t>
  </si>
  <si>
    <t>CRM / Sport / Underperformance / 5 FB / Latvia</t>
  </si>
  <si>
    <t>CRM / SPORT / LV / UNDERPERF MTD / FREEBET 5 EUR</t>
  </si>
  <si>
    <t>C$ Reactivation email EE LV 01.07.26</t>
  </si>
  <si>
    <t>Baltics - Poker - C$ reactivation</t>
  </si>
  <si>
    <t>C$ Reactivation EE (Segment A/B) NO VARIABLE</t>
  </si>
  <si>
    <t>C$ Reactivation LV (Segment A/B) NO VARIABLE</t>
  </si>
  <si>
    <t>C$ Reactivation email EU 01.07.26</t>
  </si>
  <si>
    <t>C$ Reactivation EU (Segment A/B) / C$10</t>
  </si>
  <si>
    <t>Slot of the Week EE EU email 01.07.26</t>
  </si>
  <si>
    <t>Baltics - Casino Comms</t>
  </si>
  <si>
    <t>VIP Slot of the Week EE</t>
  </si>
  <si>
    <t>VIP Slot of the Week EU</t>
  </si>
  <si>
    <t>Slot of the week LV email 01.07.26</t>
  </si>
  <si>
    <t>Baltics - Casino - VIP Exclusive game</t>
  </si>
  <si>
    <t>VIP New Exclusive Slot Release LV</t>
  </si>
  <si>
    <t>Sports Bar offer email 01.07.26</t>
  </si>
  <si>
    <t>Baltics - Sport comms</t>
  </si>
  <si>
    <t>Sports Bar / World Cup 01.07.26</t>
  </si>
  <si>
    <t>T$ Reactivation email 01.07.26.</t>
  </si>
  <si>
    <t>Baltics - Poker - T$ Reactivation</t>
  </si>
  <si>
    <t>T$ Reactivation EE NO VARIABLE</t>
  </si>
  <si>
    <t>T$ Reactivation EU NO VARIABLE</t>
  </si>
  <si>
    <t>T$ Reactivation LV NO VARIABLE</t>
  </si>
  <si>
    <t>Wimbledon email 29.06.26.</t>
  </si>
  <si>
    <t>Wimbledon 2026 / EE / 01.07.26.</t>
  </si>
  <si>
    <t>Wimbledon 2026 / LV / 01.07.2026.</t>
  </si>
  <si>
    <t>CRM_Retention_Sport_25CB100_EMAIL_Latvia_30.06.26</t>
  </si>
  <si>
    <t>CRM_Retention_Sport_25CB50_EMAIL_Finland_30.06.26</t>
  </si>
  <si>
    <t>CRM_Retention_Sport_50DB100_EMAIL_Estonia_30.06.26</t>
  </si>
  <si>
    <t>CRM_Risk_of_Churn_Sport_10€ Freebet_Estonia_30.06.26</t>
  </si>
  <si>
    <t>CRM / Sport / Risk of Churn / 10 FB</t>
  </si>
  <si>
    <t>CRM / SPORT / Risk of Churn Offer / 10EUR / EE</t>
  </si>
  <si>
    <t>CRM_Risk_of_Churn_Sport_10€ Freebet_Finland_30.06.26</t>
  </si>
  <si>
    <t>CRM / SPORT / Risk of Churn Offer / 10EUR / EU</t>
  </si>
  <si>
    <t>CRM_Risk_of_Churn_Sport_10€ Freebet_Latvia_30.06.26</t>
  </si>
  <si>
    <t>CRM / SPORT / Risk of Churn Offer /10EUR / LV</t>
  </si>
  <si>
    <t>CRM_Risk_of_Churn_Sport_2€ Freebet_Estonia_30.06.26</t>
  </si>
  <si>
    <t>CRM / Sport / Risk of Churn / 2 FB</t>
  </si>
  <si>
    <t>CRM / SPORT / Risk of Churn Offer / 2EUR / EE</t>
  </si>
  <si>
    <t>CRM_Risk_of_Churn_Sport_2€ Freebet_Latvia_30.06.26</t>
  </si>
  <si>
    <t>CRM / SPORT / Risk of Churn Offer / 2EUR / LV</t>
  </si>
  <si>
    <t>CRM_Risk_of_Churn_Sport_5€ Freebet_Estonia_30.06.26</t>
  </si>
  <si>
    <t>CRM / Sport / Risk of Churn / 5 FB</t>
  </si>
  <si>
    <t>CRM / SPORT / Risk of Churn Offer / 5EUR / EE</t>
  </si>
  <si>
    <t>CRM_Risk_of_Churn_Sport_5€ Freebet_Finland_30.06.26</t>
  </si>
  <si>
    <t>CRM / SPORT / Risk of Churn Offer / 5EUR / EU</t>
  </si>
  <si>
    <t>CRM_Risk_of_Churn_Sport_5€ Freebet_Latvia_30.06.26</t>
  </si>
  <si>
    <t>CRM / SPORT / Risk of Churn Offer / 5EUR / LV</t>
  </si>
  <si>
    <t>CRM_Sport_Reactivation_5€_EMAIL_Finland_30.06.26</t>
  </si>
  <si>
    <t>CRM / Sport / Reactivation / 5 FB / Finland</t>
  </si>
  <si>
    <t>CRM / SPORT / EU / REACTIVATION / FREEBET 5 EUR</t>
  </si>
  <si>
    <t>DB / CB - Campaign 1</t>
  </si>
  <si>
    <t>CRM / Sport / Reactivation / 50 DB 200 / Estonia</t>
  </si>
  <si>
    <t>CRM / SPORT / EE / REACTIVATION / 200% up 50 EUR</t>
  </si>
  <si>
    <t>DB / CB - Campaign 2</t>
  </si>
  <si>
    <t>Baltics - Sport - Reactivation - LV</t>
  </si>
  <si>
    <t>CRM / SPORT / LV / REACTIVATION / 100% up 100 EUR</t>
  </si>
  <si>
    <t>EE Casino newsletter week 27 30.06.2026</t>
  </si>
  <si>
    <t>Baltics - Casino - Newsletter</t>
  </si>
  <si>
    <t>CASINO NEWSLETTER 2026 EE WEEK 27</t>
  </si>
  <si>
    <t>EU Casino newsletter week 27 29.06.2026</t>
  </si>
  <si>
    <t>CASINO NEWSLETTER 2026 EU WEEK 27</t>
  </si>
  <si>
    <t>Freebet - Campaign 1</t>
  </si>
  <si>
    <t>CRM / Sport / Reactivation / 5 FB / Estonia</t>
  </si>
  <si>
    <t>CRM / SPORT / EE / REACTIVATION / FREEBET 5 EUR</t>
  </si>
  <si>
    <t>Freebet - Campaign 2</t>
  </si>
  <si>
    <t>CRM / Sport / Reactivation / 5 FB / Latvia</t>
  </si>
  <si>
    <t>CRM / SPORT / LV / REACTIVATION / FREEBET 5 EUR</t>
  </si>
  <si>
    <t>Low value costumers reactivation email 30.06.26</t>
  </si>
  <si>
    <t>Baltics - Poker - Reactivation</t>
  </si>
  <si>
    <t>Low value customers reactivation EE</t>
  </si>
  <si>
    <t>Low value customers reactivation EU</t>
  </si>
  <si>
    <t>Low value customers reactivation LV</t>
  </si>
  <si>
    <t>LV Weekly Newsletter - Week 27 30.06.2026</t>
  </si>
  <si>
    <t>LV Weekly Newsletter - Week 27</t>
  </si>
  <si>
    <t>VIP_Retention_Sport_25CB1000_EMAIL_Latvia_30.06.26</t>
  </si>
  <si>
    <t>VIP_Retention_Sport_25CB250_EMAIL_Finland_30.06.26</t>
  </si>
  <si>
    <t>VIP_Retention_Sport_50DB500_EMAIL_Estonia_30.06.26</t>
  </si>
  <si>
    <t>CRM_Retention_Casino_25CB200€_EMAIL_Latvia_29.06.26</t>
  </si>
  <si>
    <t>CRM_Retention_Casino_25CB50€_EMAIL_Finland_29.06.26</t>
  </si>
  <si>
    <t>CRM_Retention_Casino_25DB200€_EMAIL_Estonia_29.06.26</t>
  </si>
  <si>
    <t>CRM_Risk_of_Churn_Casino_10_Freespins_Finland_29.06.26</t>
  </si>
  <si>
    <t>CRM / Casino / Risk of Churn / 10 FS</t>
  </si>
  <si>
    <t>CRM /  Risk of Churn / EU / 10 FS - SET 1</t>
  </si>
  <si>
    <t>CRM_Risk_of_Churn_Casino_10_Freespins_Latvia_29.06.26</t>
  </si>
  <si>
    <t>CRM / Risk of Churn / LV / 10 FS - SET 1</t>
  </si>
  <si>
    <t>CRM_Risk_of_Churn_Casino_10€_PlayBonus_Estonia_29.06.26</t>
  </si>
  <si>
    <t>CRM / Casino / Risk of Churn / 10 PB</t>
  </si>
  <si>
    <t>CRM / Risk of Churn / EE / 10 Play Bonus - SET 1</t>
  </si>
  <si>
    <t>CRM_Risk_of_Churn_Casino_25_Freespins_Finland_29.06.26</t>
  </si>
  <si>
    <t>CRM / Casino / Risk of Churn / 25 FS</t>
  </si>
  <si>
    <t>CRM /  Risk of Churn / EU / 25 FS - SET 1</t>
  </si>
  <si>
    <t>CRM_Risk_of_Churn_Casino_25_Freespins_Latvia_29.06.26</t>
  </si>
  <si>
    <t>CRM / Risk of Churn / LV / 25 FS - SET 1</t>
  </si>
  <si>
    <t>CRM_Risk_of_Churn_Casino_25€_PlayBonus_Estonia_29.06.26</t>
  </si>
  <si>
    <t>CRM / Casino / Risk of Churn / 25 PB</t>
  </si>
  <si>
    <t>CRM / Risk of Churn / EE / 25 Play Bonus - SET 1</t>
  </si>
  <si>
    <t>CRM_Risk_of_Churn_Casino_5_Freespins_Finland_29.06.26</t>
  </si>
  <si>
    <t>CRM / Casino / Risk of Churn / 5 FS</t>
  </si>
  <si>
    <t>CRM /  Risk of Churn / EU / 5 FS - SET 1</t>
  </si>
  <si>
    <t>CRM_Risk_of_Churn_Casino_5_Freespins_Latvia_29.06.26</t>
  </si>
  <si>
    <t>CRM / Risk of Churn / LV / 5 FS - SET 1</t>
  </si>
  <si>
    <t>CRM_Risk_of_Churn_Casino_5€_PlayBonus_Estonia_29.06.26</t>
  </si>
  <si>
    <t>CRM / Casino / Risk of Churn / 5 PB</t>
  </si>
  <si>
    <t>CRM / Risk of Churn / EE / 5 Play Bonus - SET 1</t>
  </si>
  <si>
    <t>VIP_Retention_Casino_25CB1000_EMAIL_Latvia_29.06.26</t>
  </si>
  <si>
    <t>VIP_Retention_Casino_25CB500_EMAIL_Finland_29.06.26</t>
  </si>
  <si>
    <t>VIP_Retention_Casino_25DB1000_EMAIL_Estonia_29.06.26</t>
  </si>
  <si>
    <t>VIP_Risk_of_Churn_Casino_50CB250_Finland_29.06.26</t>
  </si>
  <si>
    <t>VIP / Casino / Risk of Churn / 50 CB 250</t>
  </si>
  <si>
    <t>VIP / Risk of Churn / EU / 50% CASHBACK UP TO 250 - SET 1</t>
  </si>
  <si>
    <t>VIP_Risk_of_Churn_Casino_50CB250_Latvia_29.06.26</t>
  </si>
  <si>
    <t>VIP / Risk of Churn / LV / 50% CASHBACK UP TO 250 - SET 1</t>
  </si>
  <si>
    <t>VIP_Risk_of_Churn_Casino_50DB250_Estonia_29.06.26</t>
  </si>
  <si>
    <t>VIP / CASINO / Risk Of Churn / 50 DB 250</t>
  </si>
  <si>
    <t>VIP / Risk of Churn / EE / 50% DB up to 250 - SET 1</t>
  </si>
  <si>
    <t>Wimbledon 2026 / EE / 29.06.26.</t>
  </si>
  <si>
    <t>Wimbledon 2026 / LV / 29.06.2026.</t>
  </si>
  <si>
    <t>WSOPC Tallinn Online satellites 2026 email 29.06.26</t>
  </si>
  <si>
    <t>Poker / WSOPC Tallinn Online satellites 2026 / EE / 29.06.26</t>
  </si>
  <si>
    <t>Poker / WSOPC Tallinn Online satellites 2026 / EU / 29.06.26</t>
  </si>
  <si>
    <t>Poker / WSOPC Tallinn Online satellites 2026 / LV / 29.06.26</t>
  </si>
  <si>
    <t>X-sell Poker to Casino Sport EU T1 email 29.06.26</t>
  </si>
  <si>
    <t>Poker | EU Cross Selling campaign CASINO / FreeSpins #1</t>
  </si>
  <si>
    <t>X-sell Poker to Casino Sport EU T2 email 29.06.26</t>
  </si>
  <si>
    <t>Poker | EU Cross Selling campaign CASINO / FreeSpins #2</t>
  </si>
  <si>
    <t>X-sell Poker to Casino Sport EU T3 email 29.06.26</t>
  </si>
  <si>
    <t>Poker | EU Cross Selling campaign CASINO / FreeSpins #3</t>
  </si>
  <si>
    <t>X-sell Poker to Casino Sport EU T5 email 29.06.26</t>
  </si>
  <si>
    <t>Poker | EU Cross Selling campaign CASINO / FreeSpins #5</t>
  </si>
  <si>
    <t>X-sell Poker to Casino Sport EU T7 email 29.06.26</t>
  </si>
  <si>
    <t>Poker | EU Cross Selling campaign CASINO / FreeSpins #7</t>
  </si>
  <si>
    <t>Product</t>
  </si>
  <si>
    <t>Market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</si>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</sst>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%;\-0.00%;0.00%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"/>
  <sheetViews>
    <sheetView tabSelected="1" topLeftCell="A25" workbookViewId="0">
      <selection activeCell="F8" sqref="F8"/>
    </sheetView>
  </sheetViews>
  <sheetFormatPr defaultRowHeight="14.4" x14ac:dyDescent="0.3"/>
  <cols>
    <col min="3" max="3" width="46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399</v>
      </c>
      <c r="F1" s="1" t="s">
        <v>400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2">
        <v>46208</v>
      </c>
      <c r="B2" t="s">
        <v>20</v>
      </c>
      <c r="C2" t="s">
        <v>21</v>
      </c>
      <c r="D2" t="s">
        <v>22</v>
      </c>
      <c r="E2" t="str">
        <f>IF(OR(ISNUMBER(SEARCH("poker",C2)),ISNUMBER(SEARCH("poker",D2))),"Poker",IF(OR(ISNUMBER(SEARCH("sport",C2)),ISNUMBER(SEARCH("sport",D2)),ISNUMBER(SEARCH("esport",D2)),ISNUMBER(SEARCH("freebet",D2)),ISNUMBER(SEARCH(" FB",C2)),ISNUMBER(SEARCH("NBA",D2))),"Sport",IF(OR(ISNUMBER(SEARCH("casino",C2)),ISNUMBER(SEARCH("casino",D2)),ISNUMBER(SEARCH("slot",D2)),ISNUMBER(SEARCH("jackpot",D2))),"Casino","")))</f>
        <v>Poker</v>
      </c>
      <c r="F2" t="str">
        <f>IFERROR(IF(ISNUMBER(SEARCH(" EE "," "&amp;SUBSTITUTE(D2,"/"," ")&amp;" ")),"EE",IF(ISNUMBER(SEARCH(" EU "," "&amp;SUBSTITUTE(D2,"/"," ")&amp;" ")),"EU",IF(ISNUMBER(SEARCH(" LV "," "&amp;SUBSTITUTE(D2,"/"," ")&amp;" ")),"LV",IF(ISNUMBER(SEARCH("estonia",C2&amp;D2)),"EE",IF(OR(ISNUMBER(SEARCH("finland",C2&amp;D2)),ISNUMBER(SEARCH(" EU",D2))),"EU",IF(ISNUMBER(SEARCH("latvia",C2&amp;D2)),"LV",IF(ISNUMBER(SEARCH("EE",D2)),"EE",IF(ISNUMBER(SEARCH("LV",D2)),"LV","")))))))),"")</f>
        <v>EE</v>
      </c>
      <c r="G2" s="3">
        <v>493</v>
      </c>
      <c r="H2" s="3">
        <v>492</v>
      </c>
      <c r="I2" s="4">
        <v>0.99797160243407712</v>
      </c>
      <c r="J2" s="3">
        <v>121</v>
      </c>
      <c r="K2" s="3">
        <v>151</v>
      </c>
      <c r="L2" s="3">
        <v>15</v>
      </c>
      <c r="M2" s="3">
        <v>20</v>
      </c>
      <c r="N2" s="4">
        <v>0.2459349593495935</v>
      </c>
      <c r="O2" s="4">
        <v>3.048780487804878E-2</v>
      </c>
      <c r="P2" s="4">
        <v>0.12396694214876033</v>
      </c>
      <c r="Q2" s="3"/>
      <c r="R2" s="4"/>
      <c r="S2" s="3"/>
      <c r="T2" s="3">
        <v>1</v>
      </c>
      <c r="U2" s="4">
        <v>2.0283975659229209E-3</v>
      </c>
      <c r="V2" s="3">
        <v>170</v>
      </c>
    </row>
    <row r="3" spans="1:22" x14ac:dyDescent="0.3">
      <c r="A3" s="2">
        <v>46208</v>
      </c>
      <c r="B3" t="s">
        <v>23</v>
      </c>
      <c r="C3" t="s">
        <v>21</v>
      </c>
      <c r="D3" t="s">
        <v>24</v>
      </c>
      <c r="E3" t="str">
        <f t="shared" ref="E3:E64" si="0">IF(OR(ISNUMBER(SEARCH("poker",C3)),ISNUMBER(SEARCH("poker",D3))),"Poker",IF(OR(ISNUMBER(SEARCH("sport",C3)),ISNUMBER(SEARCH("sport",D3)),ISNUMBER(SEARCH("esport",D3)),ISNUMBER(SEARCH("freebet",D3)),ISNUMBER(SEARCH(" FB",C3)),ISNUMBER(SEARCH("NBA",D3))),"Sport",IF(OR(ISNUMBER(SEARCH("casino",C3)),ISNUMBER(SEARCH("casino",D3)),ISNUMBER(SEARCH("slot",D3)),ISNUMBER(SEARCH("jackpot",D3))),"Casino","")))</f>
        <v>Poker</v>
      </c>
      <c r="F3" t="str">
        <f t="shared" ref="F3:F64" si="1">IFERROR(IF(ISNUMBER(SEARCH(" EE "," "&amp;SUBSTITUTE(D3,"/"," ")&amp;" ")),"EE",IF(ISNUMBER(SEARCH(" EU "," "&amp;SUBSTITUTE(D3,"/"," ")&amp;" ")),"EU",IF(ISNUMBER(SEARCH(" LV "," "&amp;SUBSTITUTE(D3,"/"," ")&amp;" ")),"LV",IF(ISNUMBER(SEARCH("estonia",C3&amp;D3)),"EE",IF(OR(ISNUMBER(SEARCH("finland",C3&amp;D3)),ISNUMBER(SEARCH(" EU",D3))),"EU",IF(ISNUMBER(SEARCH("latvia",C3&amp;D3)),"LV",IF(ISNUMBER(SEARCH("EE",D3)),"EE",IF(ISNUMBER(SEARCH("LV",D3)),"LV","")))))))),"")</f>
        <v>EE</v>
      </c>
      <c r="G3" s="3">
        <v>512</v>
      </c>
      <c r="H3" s="3">
        <v>509</v>
      </c>
      <c r="I3" s="4">
        <v>0.994140625</v>
      </c>
      <c r="J3" s="3">
        <v>120</v>
      </c>
      <c r="K3" s="3">
        <v>151</v>
      </c>
      <c r="L3" s="3">
        <v>7</v>
      </c>
      <c r="M3" s="3">
        <v>44</v>
      </c>
      <c r="N3" s="4">
        <v>0.23575638506876229</v>
      </c>
      <c r="O3" s="4">
        <v>1.37524557956778E-2</v>
      </c>
      <c r="P3" s="4">
        <v>5.8333333333333334E-2</v>
      </c>
      <c r="Q3" s="3"/>
      <c r="R3" s="4"/>
      <c r="S3" s="3"/>
      <c r="T3" s="3">
        <v>4</v>
      </c>
      <c r="U3" s="4">
        <v>7.8125E-3</v>
      </c>
      <c r="V3" s="3">
        <v>104</v>
      </c>
    </row>
    <row r="4" spans="1:22" x14ac:dyDescent="0.3">
      <c r="A4" s="2">
        <v>46208</v>
      </c>
      <c r="B4" t="s">
        <v>25</v>
      </c>
      <c r="C4" t="s">
        <v>21</v>
      </c>
      <c r="D4" t="s">
        <v>26</v>
      </c>
      <c r="E4" t="str">
        <f t="shared" si="0"/>
        <v>Poker</v>
      </c>
      <c r="F4" t="str">
        <f t="shared" si="1"/>
        <v>LV</v>
      </c>
      <c r="G4" s="3">
        <v>339</v>
      </c>
      <c r="H4" s="3">
        <v>338</v>
      </c>
      <c r="I4" s="4">
        <v>0.99705014749262533</v>
      </c>
      <c r="J4" s="3">
        <v>37</v>
      </c>
      <c r="K4" s="3">
        <v>45</v>
      </c>
      <c r="L4" s="3">
        <v>12</v>
      </c>
      <c r="M4" s="3">
        <v>21</v>
      </c>
      <c r="N4" s="4">
        <v>0.10946745562130178</v>
      </c>
      <c r="O4" s="4">
        <v>3.5502958579881658E-2</v>
      </c>
      <c r="P4" s="4">
        <v>0.32432432432432434</v>
      </c>
      <c r="Q4" s="3"/>
      <c r="R4" s="4"/>
      <c r="S4" s="3"/>
      <c r="T4" s="3">
        <v>1</v>
      </c>
      <c r="U4" s="4">
        <v>2.9498525073746312E-3</v>
      </c>
      <c r="V4" s="3">
        <v>94</v>
      </c>
    </row>
    <row r="5" spans="1:22" x14ac:dyDescent="0.3">
      <c r="A5" s="2">
        <v>46208</v>
      </c>
      <c r="B5" t="s">
        <v>27</v>
      </c>
      <c r="C5" t="s">
        <v>28</v>
      </c>
      <c r="D5" t="s">
        <v>29</v>
      </c>
      <c r="E5" t="str">
        <f t="shared" si="0"/>
        <v>Casino</v>
      </c>
      <c r="F5" t="str">
        <f t="shared" si="1"/>
        <v>EE</v>
      </c>
      <c r="G5" s="3">
        <v>23</v>
      </c>
      <c r="H5" s="3">
        <v>23</v>
      </c>
      <c r="I5" s="4">
        <v>1</v>
      </c>
      <c r="J5" s="3">
        <v>13</v>
      </c>
      <c r="K5" s="3">
        <v>18</v>
      </c>
      <c r="L5" s="3">
        <v>1</v>
      </c>
      <c r="M5" s="3">
        <v>1</v>
      </c>
      <c r="N5" s="4">
        <v>0.56521739130434778</v>
      </c>
      <c r="O5" s="4">
        <v>4.3478260869565216E-2</v>
      </c>
      <c r="P5" s="4">
        <v>7.6923076923076927E-2</v>
      </c>
      <c r="Q5" s="3"/>
      <c r="R5" s="4"/>
      <c r="S5" s="3"/>
      <c r="T5" s="3"/>
      <c r="U5" s="4"/>
      <c r="V5" s="3">
        <v>4</v>
      </c>
    </row>
    <row r="6" spans="1:22" x14ac:dyDescent="0.3">
      <c r="A6" s="2">
        <v>46208</v>
      </c>
      <c r="B6" t="s">
        <v>30</v>
      </c>
      <c r="C6" t="s">
        <v>31</v>
      </c>
      <c r="D6" t="s">
        <v>32</v>
      </c>
      <c r="E6" t="str">
        <f t="shared" si="0"/>
        <v>Casino</v>
      </c>
      <c r="F6" t="str">
        <f t="shared" si="1"/>
        <v>LV</v>
      </c>
      <c r="G6" s="3">
        <v>15</v>
      </c>
      <c r="H6" s="3">
        <v>15</v>
      </c>
      <c r="I6" s="4">
        <v>1</v>
      </c>
      <c r="J6" s="3">
        <v>4</v>
      </c>
      <c r="K6" s="3">
        <v>7</v>
      </c>
      <c r="L6" s="3">
        <v>3</v>
      </c>
      <c r="M6" s="3">
        <v>5</v>
      </c>
      <c r="N6" s="4">
        <v>0.26666666666666666</v>
      </c>
      <c r="O6" s="4">
        <v>0.2</v>
      </c>
      <c r="P6" s="4">
        <v>0.75</v>
      </c>
      <c r="Q6" s="3"/>
      <c r="R6" s="4"/>
      <c r="S6" s="3"/>
      <c r="T6" s="3"/>
      <c r="U6" s="4"/>
      <c r="V6" s="3">
        <v>3</v>
      </c>
    </row>
    <row r="7" spans="1:22" x14ac:dyDescent="0.3">
      <c r="A7" s="2">
        <v>46208</v>
      </c>
      <c r="B7" t="s">
        <v>33</v>
      </c>
      <c r="C7" t="s">
        <v>34</v>
      </c>
      <c r="D7" t="s">
        <v>35</v>
      </c>
      <c r="E7" t="str">
        <f t="shared" si="0"/>
        <v>Casino</v>
      </c>
      <c r="F7" t="str">
        <f t="shared" si="1"/>
        <v>EE</v>
      </c>
      <c r="G7" s="3">
        <v>59</v>
      </c>
      <c r="H7" s="3">
        <v>59</v>
      </c>
      <c r="I7" s="4">
        <v>1</v>
      </c>
      <c r="J7" s="3">
        <v>25</v>
      </c>
      <c r="K7" s="3">
        <v>50</v>
      </c>
      <c r="L7" s="3">
        <v>11</v>
      </c>
      <c r="M7" s="3">
        <v>25</v>
      </c>
      <c r="N7" s="4">
        <v>0.42372881355932202</v>
      </c>
      <c r="O7" s="4">
        <v>0.1864406779661017</v>
      </c>
      <c r="P7" s="4">
        <v>0.44</v>
      </c>
      <c r="Q7" s="3"/>
      <c r="R7" s="4"/>
      <c r="S7" s="3"/>
      <c r="T7" s="3"/>
      <c r="U7" s="4"/>
      <c r="V7" s="3">
        <v>8</v>
      </c>
    </row>
    <row r="8" spans="1:22" x14ac:dyDescent="0.3">
      <c r="A8" s="2">
        <v>46208</v>
      </c>
      <c r="B8" t="s">
        <v>36</v>
      </c>
      <c r="C8" t="s">
        <v>37</v>
      </c>
      <c r="D8" t="s">
        <v>38</v>
      </c>
      <c r="E8" t="str">
        <f t="shared" si="0"/>
        <v>Casino</v>
      </c>
      <c r="F8" t="str">
        <f t="shared" si="1"/>
        <v>LV</v>
      </c>
      <c r="G8" s="3">
        <v>25</v>
      </c>
      <c r="H8" s="3">
        <v>25</v>
      </c>
      <c r="I8" s="4">
        <v>1</v>
      </c>
      <c r="J8" s="3">
        <v>7</v>
      </c>
      <c r="K8" s="3">
        <v>11</v>
      </c>
      <c r="L8" s="3">
        <v>8</v>
      </c>
      <c r="M8" s="3">
        <v>10</v>
      </c>
      <c r="N8" s="4">
        <v>0.28000000000000003</v>
      </c>
      <c r="O8" s="4">
        <v>0.32</v>
      </c>
      <c r="P8" s="4">
        <v>1.1428571428571428</v>
      </c>
      <c r="Q8" s="3"/>
      <c r="R8" s="4"/>
      <c r="S8" s="3"/>
      <c r="T8" s="3"/>
      <c r="U8" s="4"/>
      <c r="V8" s="3">
        <v>4</v>
      </c>
    </row>
    <row r="9" spans="1:22" x14ac:dyDescent="0.3">
      <c r="A9" s="2">
        <v>46208</v>
      </c>
      <c r="B9" t="s">
        <v>39</v>
      </c>
      <c r="C9" t="s">
        <v>40</v>
      </c>
      <c r="D9" t="s">
        <v>41</v>
      </c>
      <c r="E9" t="str">
        <f t="shared" si="0"/>
        <v>Casino</v>
      </c>
      <c r="F9" t="str">
        <f t="shared" si="1"/>
        <v>EE</v>
      </c>
      <c r="G9" s="3">
        <v>21</v>
      </c>
      <c r="H9" s="3">
        <v>21</v>
      </c>
      <c r="I9" s="4">
        <v>1</v>
      </c>
      <c r="J9" s="3">
        <v>10</v>
      </c>
      <c r="K9" s="3">
        <v>16</v>
      </c>
      <c r="L9" s="3">
        <v>2</v>
      </c>
      <c r="M9" s="3">
        <v>3</v>
      </c>
      <c r="N9" s="4">
        <v>0.47619047619047616</v>
      </c>
      <c r="O9" s="4">
        <v>9.5238095238095233E-2</v>
      </c>
      <c r="P9" s="4">
        <v>0.2</v>
      </c>
      <c r="Q9" s="3"/>
      <c r="R9" s="4"/>
      <c r="S9" s="3"/>
      <c r="T9" s="3"/>
      <c r="U9" s="4"/>
      <c r="V9" s="3">
        <v>4</v>
      </c>
    </row>
    <row r="10" spans="1:22" x14ac:dyDescent="0.3">
      <c r="A10" s="2">
        <v>46208</v>
      </c>
      <c r="B10" t="s">
        <v>42</v>
      </c>
      <c r="C10" t="s">
        <v>43</v>
      </c>
      <c r="D10" t="s">
        <v>44</v>
      </c>
      <c r="E10" t="str">
        <f t="shared" si="0"/>
        <v>Casino</v>
      </c>
      <c r="F10" t="str">
        <f t="shared" si="1"/>
        <v>LV</v>
      </c>
      <c r="G10" s="3">
        <v>7</v>
      </c>
      <c r="H10" s="3">
        <v>7</v>
      </c>
      <c r="I10" s="4">
        <v>1</v>
      </c>
      <c r="J10" s="3">
        <v>2</v>
      </c>
      <c r="K10" s="3">
        <v>3</v>
      </c>
      <c r="L10" s="3"/>
      <c r="M10" s="3"/>
      <c r="N10" s="4">
        <v>0.2857142857142857</v>
      </c>
      <c r="O10" s="4"/>
      <c r="P10" s="4"/>
      <c r="Q10" s="3"/>
      <c r="R10" s="4"/>
      <c r="S10" s="3"/>
      <c r="T10" s="3"/>
      <c r="U10" s="4"/>
      <c r="V10" s="3">
        <v>3</v>
      </c>
    </row>
    <row r="11" spans="1:22" x14ac:dyDescent="0.3">
      <c r="A11" s="2">
        <v>46208</v>
      </c>
      <c r="B11" t="s">
        <v>45</v>
      </c>
      <c r="C11" t="s">
        <v>46</v>
      </c>
      <c r="D11" t="s">
        <v>47</v>
      </c>
      <c r="E11" t="str">
        <f t="shared" si="0"/>
        <v>Casino</v>
      </c>
      <c r="F11" t="str">
        <f t="shared" si="1"/>
        <v>EE</v>
      </c>
      <c r="G11" s="3">
        <v>38</v>
      </c>
      <c r="H11" s="3">
        <v>38</v>
      </c>
      <c r="I11" s="4">
        <v>1</v>
      </c>
      <c r="J11" s="3">
        <v>20</v>
      </c>
      <c r="K11" s="3">
        <v>29</v>
      </c>
      <c r="L11" s="3">
        <v>9</v>
      </c>
      <c r="M11" s="3">
        <v>18</v>
      </c>
      <c r="N11" s="4">
        <v>0.52631578947368418</v>
      </c>
      <c r="O11" s="4">
        <v>0.23684210526315788</v>
      </c>
      <c r="P11" s="4">
        <v>0.45</v>
      </c>
      <c r="Q11" s="3"/>
      <c r="R11" s="4"/>
      <c r="S11" s="3"/>
      <c r="T11" s="3"/>
      <c r="U11" s="4"/>
      <c r="V11" s="3">
        <v>10</v>
      </c>
    </row>
    <row r="12" spans="1:22" x14ac:dyDescent="0.3">
      <c r="A12" s="2">
        <v>46208</v>
      </c>
      <c r="B12" t="s">
        <v>48</v>
      </c>
      <c r="C12" t="s">
        <v>49</v>
      </c>
      <c r="D12" t="s">
        <v>50</v>
      </c>
      <c r="E12" t="str">
        <f t="shared" si="0"/>
        <v>Casino</v>
      </c>
      <c r="F12" t="str">
        <f t="shared" si="1"/>
        <v>LV</v>
      </c>
      <c r="G12" s="3">
        <v>17</v>
      </c>
      <c r="H12" s="3">
        <v>17</v>
      </c>
      <c r="I12" s="4">
        <v>1</v>
      </c>
      <c r="J12" s="3">
        <v>5</v>
      </c>
      <c r="K12" s="3">
        <v>11</v>
      </c>
      <c r="L12" s="3">
        <v>3</v>
      </c>
      <c r="M12" s="3">
        <v>6</v>
      </c>
      <c r="N12" s="4">
        <v>0.29411764705882354</v>
      </c>
      <c r="O12" s="4">
        <v>0.17647058823529413</v>
      </c>
      <c r="P12" s="4">
        <v>0.6</v>
      </c>
      <c r="Q12" s="3"/>
      <c r="R12" s="4"/>
      <c r="S12" s="3"/>
      <c r="T12" s="3"/>
      <c r="U12" s="4"/>
      <c r="V12" s="3">
        <v>8</v>
      </c>
    </row>
    <row r="13" spans="1:22" x14ac:dyDescent="0.3">
      <c r="A13" s="2">
        <v>46207</v>
      </c>
      <c r="B13" t="s">
        <v>51</v>
      </c>
      <c r="C13" t="s">
        <v>52</v>
      </c>
      <c r="D13" t="s">
        <v>53</v>
      </c>
      <c r="E13" t="str">
        <f t="shared" si="0"/>
        <v>Sport</v>
      </c>
      <c r="F13" t="str">
        <f t="shared" si="1"/>
        <v>EE</v>
      </c>
      <c r="G13" s="3">
        <v>7</v>
      </c>
      <c r="H13" s="3">
        <v>7</v>
      </c>
      <c r="I13" s="4">
        <v>1</v>
      </c>
      <c r="J13" s="3">
        <v>3</v>
      </c>
      <c r="K13" s="3">
        <v>3</v>
      </c>
      <c r="L13" s="3">
        <v>1</v>
      </c>
      <c r="M13" s="3">
        <v>1</v>
      </c>
      <c r="N13" s="4">
        <v>0.42857142857142855</v>
      </c>
      <c r="O13" s="4">
        <v>0.14285714285714285</v>
      </c>
      <c r="P13" s="4">
        <v>0.33333333333333331</v>
      </c>
      <c r="Q13" s="3"/>
      <c r="R13" s="4"/>
      <c r="S13" s="3"/>
      <c r="T13" s="3"/>
      <c r="U13" s="4"/>
      <c r="V13" s="3"/>
    </row>
    <row r="14" spans="1:22" x14ac:dyDescent="0.3">
      <c r="A14" s="2">
        <v>46207</v>
      </c>
      <c r="B14" t="s">
        <v>54</v>
      </c>
      <c r="C14" t="s">
        <v>55</v>
      </c>
      <c r="D14" t="s">
        <v>56</v>
      </c>
      <c r="E14" t="str">
        <f t="shared" si="0"/>
        <v>Sport</v>
      </c>
      <c r="F14" t="str">
        <f t="shared" si="1"/>
        <v>EE</v>
      </c>
      <c r="G14" s="3">
        <v>15</v>
      </c>
      <c r="H14" s="3">
        <v>15</v>
      </c>
      <c r="I14" s="4">
        <v>1</v>
      </c>
      <c r="J14" s="3">
        <v>6</v>
      </c>
      <c r="K14" s="3">
        <v>11</v>
      </c>
      <c r="L14" s="3">
        <v>1</v>
      </c>
      <c r="M14" s="3">
        <v>1</v>
      </c>
      <c r="N14" s="4">
        <v>0.4</v>
      </c>
      <c r="O14" s="4">
        <v>6.6666666666666666E-2</v>
      </c>
      <c r="P14" s="4">
        <v>0.16666666666666666</v>
      </c>
      <c r="Q14" s="3"/>
      <c r="R14" s="4"/>
      <c r="S14" s="3"/>
      <c r="T14" s="3"/>
      <c r="U14" s="4"/>
      <c r="V14" s="3"/>
    </row>
    <row r="15" spans="1:22" x14ac:dyDescent="0.3">
      <c r="A15" s="2">
        <v>46207</v>
      </c>
      <c r="B15" t="s">
        <v>57</v>
      </c>
      <c r="C15" t="s">
        <v>58</v>
      </c>
      <c r="D15" t="s">
        <v>59</v>
      </c>
      <c r="E15" t="str">
        <f t="shared" si="0"/>
        <v>Sport</v>
      </c>
      <c r="F15" t="str">
        <f t="shared" si="1"/>
        <v>LV</v>
      </c>
      <c r="G15" s="3">
        <v>6</v>
      </c>
      <c r="H15" s="3">
        <v>6</v>
      </c>
      <c r="I15" s="4">
        <v>1</v>
      </c>
      <c r="J15" s="3">
        <v>1</v>
      </c>
      <c r="K15" s="3">
        <v>2</v>
      </c>
      <c r="L15" s="3"/>
      <c r="M15" s="3"/>
      <c r="N15" s="4">
        <v>0.16666666666666666</v>
      </c>
      <c r="O15" s="4"/>
      <c r="P15" s="4"/>
      <c r="Q15" s="3"/>
      <c r="R15" s="4"/>
      <c r="S15" s="3"/>
      <c r="T15" s="3"/>
      <c r="U15" s="4"/>
      <c r="V15" s="3"/>
    </row>
    <row r="16" spans="1:22" x14ac:dyDescent="0.3">
      <c r="A16" s="2">
        <v>46207</v>
      </c>
      <c r="B16" t="s">
        <v>60</v>
      </c>
      <c r="C16" t="s">
        <v>61</v>
      </c>
      <c r="D16" t="s">
        <v>62</v>
      </c>
      <c r="E16" t="str">
        <f t="shared" si="0"/>
        <v>Sport</v>
      </c>
      <c r="F16" t="str">
        <f t="shared" si="1"/>
        <v>EE</v>
      </c>
      <c r="G16" s="3">
        <v>3</v>
      </c>
      <c r="H16" s="3">
        <v>3</v>
      </c>
      <c r="I16" s="4">
        <v>1</v>
      </c>
      <c r="J16" s="3">
        <v>1</v>
      </c>
      <c r="K16" s="3">
        <v>1</v>
      </c>
      <c r="L16" s="3">
        <v>1</v>
      </c>
      <c r="M16" s="3">
        <v>1</v>
      </c>
      <c r="N16" s="4">
        <v>0.33333333333333331</v>
      </c>
      <c r="O16" s="4">
        <v>0.33333333333333331</v>
      </c>
      <c r="P16" s="4">
        <v>1</v>
      </c>
      <c r="Q16" s="3"/>
      <c r="R16" s="4"/>
      <c r="S16" s="3"/>
      <c r="T16" s="3"/>
      <c r="U16" s="4"/>
      <c r="V16" s="3"/>
    </row>
    <row r="17" spans="1:22" x14ac:dyDescent="0.3">
      <c r="A17" s="2">
        <v>46207</v>
      </c>
      <c r="B17" t="s">
        <v>63</v>
      </c>
      <c r="C17" t="s">
        <v>64</v>
      </c>
      <c r="D17" t="s">
        <v>65</v>
      </c>
      <c r="E17" t="str">
        <f t="shared" si="0"/>
        <v>Sport</v>
      </c>
      <c r="F17" t="str">
        <f t="shared" si="1"/>
        <v>LV</v>
      </c>
      <c r="G17" s="3">
        <v>3</v>
      </c>
      <c r="H17" s="3">
        <v>3</v>
      </c>
      <c r="I17" s="4">
        <v>1</v>
      </c>
      <c r="J17" s="3"/>
      <c r="K17" s="3"/>
      <c r="L17" s="3"/>
      <c r="M17" s="3"/>
      <c r="N17" s="4"/>
      <c r="O17" s="4"/>
      <c r="P17" s="4"/>
      <c r="Q17" s="3"/>
      <c r="R17" s="4"/>
      <c r="S17" s="3"/>
      <c r="T17" s="3"/>
      <c r="U17" s="4"/>
      <c r="V17" s="3"/>
    </row>
    <row r="18" spans="1:22" x14ac:dyDescent="0.3">
      <c r="A18" s="2">
        <v>46207</v>
      </c>
      <c r="B18" t="s">
        <v>66</v>
      </c>
      <c r="C18" t="s">
        <v>67</v>
      </c>
      <c r="D18" t="s">
        <v>68</v>
      </c>
      <c r="E18" t="str">
        <f t="shared" si="0"/>
        <v>Sport</v>
      </c>
      <c r="F18" t="str">
        <f t="shared" si="1"/>
        <v>EE</v>
      </c>
      <c r="G18" s="3">
        <v>11</v>
      </c>
      <c r="H18" s="3">
        <v>11</v>
      </c>
      <c r="I18" s="4">
        <v>1</v>
      </c>
      <c r="J18" s="3">
        <v>5</v>
      </c>
      <c r="K18" s="3">
        <v>7</v>
      </c>
      <c r="L18" s="3">
        <v>1</v>
      </c>
      <c r="M18" s="3">
        <v>3</v>
      </c>
      <c r="N18" s="4">
        <v>0.45454545454545453</v>
      </c>
      <c r="O18" s="4">
        <v>9.0909090909090912E-2</v>
      </c>
      <c r="P18" s="4">
        <v>0.2</v>
      </c>
      <c r="Q18" s="3"/>
      <c r="R18" s="4"/>
      <c r="S18" s="3"/>
      <c r="T18" s="3"/>
      <c r="U18" s="4"/>
      <c r="V18" s="3"/>
    </row>
    <row r="19" spans="1:22" x14ac:dyDescent="0.3">
      <c r="A19" s="2">
        <v>46207</v>
      </c>
      <c r="B19" t="s">
        <v>69</v>
      </c>
      <c r="C19" t="s">
        <v>70</v>
      </c>
      <c r="D19" t="s">
        <v>71</v>
      </c>
      <c r="E19" t="str">
        <f t="shared" si="0"/>
        <v>Sport</v>
      </c>
      <c r="F19" t="str">
        <f t="shared" si="1"/>
        <v>LV</v>
      </c>
      <c r="G19" s="3">
        <v>3</v>
      </c>
      <c r="H19" s="3">
        <v>3</v>
      </c>
      <c r="I19" s="4">
        <v>1</v>
      </c>
      <c r="J19" s="3">
        <v>2</v>
      </c>
      <c r="K19" s="3">
        <v>2</v>
      </c>
      <c r="L19" s="3">
        <v>1</v>
      </c>
      <c r="M19" s="3">
        <v>2</v>
      </c>
      <c r="N19" s="4">
        <v>0.66666666666666663</v>
      </c>
      <c r="O19" s="4">
        <v>0.33333333333333331</v>
      </c>
      <c r="P19" s="4">
        <v>0.5</v>
      </c>
      <c r="Q19" s="3"/>
      <c r="R19" s="4"/>
      <c r="S19" s="3"/>
      <c r="T19" s="3"/>
      <c r="U19" s="4"/>
      <c r="V19" s="3"/>
    </row>
    <row r="20" spans="1:22" x14ac:dyDescent="0.3">
      <c r="A20" s="2">
        <v>46206</v>
      </c>
      <c r="B20" t="s">
        <v>72</v>
      </c>
      <c r="C20" t="s">
        <v>73</v>
      </c>
      <c r="D20" t="s">
        <v>74</v>
      </c>
      <c r="E20" t="str">
        <f t="shared" si="0"/>
        <v>Sport</v>
      </c>
      <c r="F20" t="str">
        <f t="shared" si="1"/>
        <v>LV</v>
      </c>
      <c r="G20" s="3">
        <v>675</v>
      </c>
      <c r="H20" s="3">
        <v>675</v>
      </c>
      <c r="I20" s="4">
        <v>1</v>
      </c>
      <c r="J20" s="3">
        <v>109</v>
      </c>
      <c r="K20" s="3">
        <v>122</v>
      </c>
      <c r="L20" s="3">
        <v>3</v>
      </c>
      <c r="M20" s="3">
        <v>15</v>
      </c>
      <c r="N20" s="4">
        <v>0.16148148148148148</v>
      </c>
      <c r="O20" s="4">
        <v>4.4444444444444444E-3</v>
      </c>
      <c r="P20" s="4">
        <v>2.7522935779816515E-2</v>
      </c>
      <c r="Q20" s="3">
        <v>1</v>
      </c>
      <c r="R20" s="4">
        <v>1.4814814814814814E-3</v>
      </c>
      <c r="S20" s="3"/>
      <c r="T20" s="3"/>
      <c r="U20" s="4"/>
      <c r="V20" s="3"/>
    </row>
    <row r="21" spans="1:22" x14ac:dyDescent="0.3">
      <c r="A21" s="2">
        <v>46206</v>
      </c>
      <c r="B21" t="s">
        <v>75</v>
      </c>
      <c r="C21" t="s">
        <v>76</v>
      </c>
      <c r="D21" t="s">
        <v>77</v>
      </c>
      <c r="E21" t="str">
        <f t="shared" si="0"/>
        <v>Sport</v>
      </c>
      <c r="F21" t="str">
        <f t="shared" si="1"/>
        <v>EU</v>
      </c>
      <c r="G21" s="3">
        <v>23</v>
      </c>
      <c r="H21" s="3">
        <v>23</v>
      </c>
      <c r="I21" s="4">
        <v>1</v>
      </c>
      <c r="J21" s="3">
        <v>6</v>
      </c>
      <c r="K21" s="3">
        <v>8</v>
      </c>
      <c r="L21" s="3"/>
      <c r="M21" s="3"/>
      <c r="N21" s="4">
        <v>0.2608695652173913</v>
      </c>
      <c r="O21" s="4"/>
      <c r="P21" s="4"/>
      <c r="Q21" s="3"/>
      <c r="R21" s="4"/>
      <c r="S21" s="3"/>
      <c r="T21" s="3"/>
      <c r="U21" s="4"/>
      <c r="V21" s="3"/>
    </row>
    <row r="22" spans="1:22" x14ac:dyDescent="0.3">
      <c r="A22" s="2">
        <v>46206</v>
      </c>
      <c r="B22" t="s">
        <v>78</v>
      </c>
      <c r="C22" t="s">
        <v>79</v>
      </c>
      <c r="D22" t="s">
        <v>80</v>
      </c>
      <c r="E22" t="str">
        <f t="shared" si="0"/>
        <v>Sport</v>
      </c>
      <c r="F22" t="str">
        <f t="shared" si="1"/>
        <v>EE</v>
      </c>
      <c r="G22" s="3">
        <v>983</v>
      </c>
      <c r="H22" s="3">
        <v>983</v>
      </c>
      <c r="I22" s="4">
        <v>1</v>
      </c>
      <c r="J22" s="3">
        <v>221</v>
      </c>
      <c r="K22" s="3">
        <v>283</v>
      </c>
      <c r="L22" s="3">
        <v>12</v>
      </c>
      <c r="M22" s="3">
        <v>25</v>
      </c>
      <c r="N22" s="4">
        <v>0.22482197355035605</v>
      </c>
      <c r="O22" s="4">
        <v>1.2207527975584944E-2</v>
      </c>
      <c r="P22" s="4">
        <v>5.4298642533936653E-2</v>
      </c>
      <c r="Q22" s="3"/>
      <c r="R22" s="4"/>
      <c r="S22" s="3"/>
      <c r="T22" s="3">
        <v>1</v>
      </c>
      <c r="U22" s="4">
        <v>1.017293997965412E-3</v>
      </c>
      <c r="V22" s="3"/>
    </row>
    <row r="23" spans="1:22" x14ac:dyDescent="0.3">
      <c r="A23" s="2">
        <v>46206</v>
      </c>
      <c r="B23" t="s">
        <v>81</v>
      </c>
      <c r="C23" t="s">
        <v>82</v>
      </c>
      <c r="D23" t="s">
        <v>83</v>
      </c>
      <c r="E23" t="str">
        <f t="shared" si="0"/>
        <v>Sport</v>
      </c>
      <c r="F23" t="str">
        <f t="shared" si="1"/>
        <v>EE</v>
      </c>
      <c r="G23" s="3">
        <v>1113</v>
      </c>
      <c r="H23" s="3">
        <v>1112</v>
      </c>
      <c r="I23" s="4">
        <v>0.99910152740341418</v>
      </c>
      <c r="J23" s="3">
        <v>353</v>
      </c>
      <c r="K23" s="3">
        <v>600</v>
      </c>
      <c r="L23" s="3">
        <v>116</v>
      </c>
      <c r="M23" s="3">
        <v>198</v>
      </c>
      <c r="N23" s="4">
        <v>0.31744604316546765</v>
      </c>
      <c r="O23" s="4">
        <v>0.10431654676258993</v>
      </c>
      <c r="P23" s="4">
        <v>0.32861189801699719</v>
      </c>
      <c r="Q23" s="3"/>
      <c r="R23" s="4"/>
      <c r="S23" s="3"/>
      <c r="T23" s="3">
        <v>1</v>
      </c>
      <c r="U23" s="4">
        <v>8.9847259658580418E-4</v>
      </c>
      <c r="V23" s="3"/>
    </row>
    <row r="24" spans="1:22" x14ac:dyDescent="0.3">
      <c r="A24" s="2">
        <v>46206</v>
      </c>
      <c r="B24" t="s">
        <v>84</v>
      </c>
      <c r="C24" t="s">
        <v>82</v>
      </c>
      <c r="D24" t="s">
        <v>85</v>
      </c>
      <c r="E24" t="str">
        <f t="shared" si="0"/>
        <v>Sport</v>
      </c>
      <c r="F24" t="str">
        <f t="shared" si="1"/>
        <v>EU</v>
      </c>
      <c r="G24" s="3">
        <v>43</v>
      </c>
      <c r="H24" s="3">
        <v>43</v>
      </c>
      <c r="I24" s="4">
        <v>1</v>
      </c>
      <c r="J24" s="3">
        <v>14</v>
      </c>
      <c r="K24" s="3">
        <v>32</v>
      </c>
      <c r="L24" s="3">
        <v>3</v>
      </c>
      <c r="M24" s="3">
        <v>5</v>
      </c>
      <c r="N24" s="4">
        <v>0.32558139534883723</v>
      </c>
      <c r="O24" s="4">
        <v>6.9767441860465115E-2</v>
      </c>
      <c r="P24" s="4">
        <v>0.21428571428571427</v>
      </c>
      <c r="Q24" s="3"/>
      <c r="R24" s="4"/>
      <c r="S24" s="3"/>
      <c r="T24" s="3"/>
      <c r="U24" s="4"/>
      <c r="V24" s="3"/>
    </row>
    <row r="25" spans="1:22" x14ac:dyDescent="0.3">
      <c r="A25" s="2">
        <v>46206</v>
      </c>
      <c r="B25" t="s">
        <v>86</v>
      </c>
      <c r="C25" t="s">
        <v>82</v>
      </c>
      <c r="D25" t="s">
        <v>87</v>
      </c>
      <c r="E25" t="str">
        <f t="shared" si="0"/>
        <v>Sport</v>
      </c>
      <c r="F25" t="str">
        <f t="shared" si="1"/>
        <v>LV</v>
      </c>
      <c r="G25" s="3">
        <v>1368</v>
      </c>
      <c r="H25" s="3">
        <v>1368</v>
      </c>
      <c r="I25" s="4">
        <v>1</v>
      </c>
      <c r="J25" s="3">
        <v>216</v>
      </c>
      <c r="K25" s="3">
        <v>314</v>
      </c>
      <c r="L25" s="3">
        <v>74</v>
      </c>
      <c r="M25" s="3">
        <v>123</v>
      </c>
      <c r="N25" s="4">
        <v>0.15789473684210525</v>
      </c>
      <c r="O25" s="4">
        <v>5.4093567251461985E-2</v>
      </c>
      <c r="P25" s="4">
        <v>0.34259259259259262</v>
      </c>
      <c r="Q25" s="3"/>
      <c r="R25" s="4"/>
      <c r="S25" s="3"/>
      <c r="T25" s="3"/>
      <c r="U25" s="4"/>
      <c r="V25" s="3"/>
    </row>
    <row r="26" spans="1:22" x14ac:dyDescent="0.3">
      <c r="A26" s="2">
        <v>46206</v>
      </c>
      <c r="B26" t="s">
        <v>88</v>
      </c>
      <c r="C26" t="s">
        <v>89</v>
      </c>
      <c r="D26" t="s">
        <v>90</v>
      </c>
      <c r="E26" t="str">
        <f t="shared" si="0"/>
        <v>Casino</v>
      </c>
      <c r="F26" t="str">
        <f t="shared" si="1"/>
        <v>EE</v>
      </c>
      <c r="G26" s="3">
        <v>64</v>
      </c>
      <c r="H26" s="3">
        <v>64</v>
      </c>
      <c r="I26" s="4">
        <v>1</v>
      </c>
      <c r="J26" s="3">
        <v>13</v>
      </c>
      <c r="K26" s="3">
        <v>27</v>
      </c>
      <c r="L26" s="3">
        <v>2</v>
      </c>
      <c r="M26" s="3">
        <v>2</v>
      </c>
      <c r="N26" s="4">
        <v>0.203125</v>
      </c>
      <c r="O26" s="4">
        <v>3.125E-2</v>
      </c>
      <c r="P26" s="4">
        <v>0.15384615384615385</v>
      </c>
      <c r="Q26" s="3"/>
      <c r="R26" s="4"/>
      <c r="S26" s="3"/>
      <c r="T26" s="3"/>
      <c r="U26" s="4"/>
      <c r="V26" s="3">
        <v>17</v>
      </c>
    </row>
    <row r="27" spans="1:22" x14ac:dyDescent="0.3">
      <c r="A27" s="2">
        <v>46206</v>
      </c>
      <c r="B27" t="s">
        <v>91</v>
      </c>
      <c r="C27" t="s">
        <v>92</v>
      </c>
      <c r="D27" t="s">
        <v>93</v>
      </c>
      <c r="E27" t="str">
        <f t="shared" si="0"/>
        <v>Casino</v>
      </c>
      <c r="F27" t="str">
        <f t="shared" si="1"/>
        <v>EU</v>
      </c>
      <c r="G27" s="3">
        <v>20</v>
      </c>
      <c r="H27" s="3">
        <v>20</v>
      </c>
      <c r="I27" s="4">
        <v>1</v>
      </c>
      <c r="J27" s="3">
        <v>4</v>
      </c>
      <c r="K27" s="3">
        <v>6</v>
      </c>
      <c r="L27" s="3"/>
      <c r="M27" s="3"/>
      <c r="N27" s="4">
        <v>0.2</v>
      </c>
      <c r="O27" s="4"/>
      <c r="P27" s="4"/>
      <c r="Q27" s="3"/>
      <c r="R27" s="4"/>
      <c r="S27" s="3"/>
      <c r="T27" s="3"/>
      <c r="U27" s="4"/>
      <c r="V27" s="3">
        <v>2</v>
      </c>
    </row>
    <row r="28" spans="1:22" x14ac:dyDescent="0.3">
      <c r="A28" s="2">
        <v>46206</v>
      </c>
      <c r="B28" t="s">
        <v>94</v>
      </c>
      <c r="C28" t="s">
        <v>95</v>
      </c>
      <c r="D28" t="s">
        <v>96</v>
      </c>
      <c r="E28" t="str">
        <f t="shared" si="0"/>
        <v>Casino</v>
      </c>
      <c r="F28" t="str">
        <f t="shared" si="1"/>
        <v>LV</v>
      </c>
      <c r="G28" s="3">
        <v>87</v>
      </c>
      <c r="H28" s="3">
        <v>86</v>
      </c>
      <c r="I28" s="4">
        <v>0.9885057471264368</v>
      </c>
      <c r="J28" s="3">
        <v>12</v>
      </c>
      <c r="K28" s="3">
        <v>12</v>
      </c>
      <c r="L28" s="3">
        <v>3</v>
      </c>
      <c r="M28" s="3">
        <v>4</v>
      </c>
      <c r="N28" s="4">
        <v>0.13953488372093023</v>
      </c>
      <c r="O28" s="4">
        <v>3.4883720930232558E-2</v>
      </c>
      <c r="P28" s="4">
        <v>0.25</v>
      </c>
      <c r="Q28" s="3"/>
      <c r="R28" s="4"/>
      <c r="S28" s="3"/>
      <c r="T28" s="3">
        <v>1</v>
      </c>
      <c r="U28" s="4">
        <v>1.1494252873563218E-2</v>
      </c>
      <c r="V28" s="3">
        <v>11</v>
      </c>
    </row>
    <row r="29" spans="1:22" x14ac:dyDescent="0.3">
      <c r="A29" s="2">
        <v>46206</v>
      </c>
      <c r="B29" t="s">
        <v>97</v>
      </c>
      <c r="C29" t="s">
        <v>98</v>
      </c>
      <c r="D29" t="s">
        <v>99</v>
      </c>
      <c r="E29" t="str">
        <f t="shared" si="0"/>
        <v>Sport</v>
      </c>
      <c r="F29" t="str">
        <f t="shared" si="1"/>
        <v>LV</v>
      </c>
      <c r="G29" s="3">
        <v>47</v>
      </c>
      <c r="H29" s="3">
        <v>47</v>
      </c>
      <c r="I29" s="4">
        <v>1</v>
      </c>
      <c r="J29" s="3">
        <v>5</v>
      </c>
      <c r="K29" s="3">
        <v>7</v>
      </c>
      <c r="L29" s="3">
        <v>2</v>
      </c>
      <c r="M29" s="3">
        <v>2</v>
      </c>
      <c r="N29" s="4">
        <v>0.10638297872340426</v>
      </c>
      <c r="O29" s="4">
        <v>4.2553191489361701E-2</v>
      </c>
      <c r="P29" s="4">
        <v>0.4</v>
      </c>
      <c r="Q29" s="3"/>
      <c r="R29" s="4"/>
      <c r="S29" s="3"/>
      <c r="T29" s="3"/>
      <c r="U29" s="4"/>
      <c r="V29" s="3"/>
    </row>
    <row r="30" spans="1:22" x14ac:dyDescent="0.3">
      <c r="A30" s="2">
        <v>46206</v>
      </c>
      <c r="B30" t="s">
        <v>100</v>
      </c>
      <c r="C30" t="s">
        <v>101</v>
      </c>
      <c r="D30" t="s">
        <v>102</v>
      </c>
      <c r="E30" t="str">
        <f t="shared" si="0"/>
        <v>Sport</v>
      </c>
      <c r="F30" t="str">
        <f t="shared" si="1"/>
        <v>EU</v>
      </c>
      <c r="G30" s="3">
        <v>6</v>
      </c>
      <c r="H30" s="3">
        <v>6</v>
      </c>
      <c r="I30" s="4">
        <v>1</v>
      </c>
      <c r="J30" s="3">
        <v>4</v>
      </c>
      <c r="K30" s="3">
        <v>5</v>
      </c>
      <c r="L30" s="3">
        <v>1</v>
      </c>
      <c r="M30" s="3">
        <v>1</v>
      </c>
      <c r="N30" s="4">
        <v>0.66666666666666663</v>
      </c>
      <c r="O30" s="4">
        <v>0.16666666666666666</v>
      </c>
      <c r="P30" s="4">
        <v>0.25</v>
      </c>
      <c r="Q30" s="3"/>
      <c r="R30" s="4"/>
      <c r="S30" s="3"/>
      <c r="T30" s="3"/>
      <c r="U30" s="4"/>
      <c r="V30" s="3"/>
    </row>
    <row r="31" spans="1:22" x14ac:dyDescent="0.3">
      <c r="A31" s="2">
        <v>46206</v>
      </c>
      <c r="B31" t="s">
        <v>103</v>
      </c>
      <c r="C31" t="s">
        <v>104</v>
      </c>
      <c r="D31" t="s">
        <v>105</v>
      </c>
      <c r="E31" t="str">
        <f t="shared" si="0"/>
        <v>Sport</v>
      </c>
      <c r="F31" t="str">
        <f t="shared" si="1"/>
        <v>EE</v>
      </c>
      <c r="G31" s="3">
        <v>90</v>
      </c>
      <c r="H31" s="3">
        <v>90</v>
      </c>
      <c r="I31" s="4">
        <v>1</v>
      </c>
      <c r="J31" s="3">
        <v>20</v>
      </c>
      <c r="K31" s="3">
        <v>29</v>
      </c>
      <c r="L31" s="3">
        <v>2</v>
      </c>
      <c r="M31" s="3">
        <v>5</v>
      </c>
      <c r="N31" s="4">
        <v>0.22222222222222221</v>
      </c>
      <c r="O31" s="4">
        <v>2.2222222222222223E-2</v>
      </c>
      <c r="P31" s="4">
        <v>0.1</v>
      </c>
      <c r="Q31" s="3"/>
      <c r="R31" s="4"/>
      <c r="S31" s="3"/>
      <c r="T31" s="3"/>
      <c r="U31" s="4"/>
      <c r="V31" s="3"/>
    </row>
    <row r="32" spans="1:22" x14ac:dyDescent="0.3">
      <c r="A32" s="2">
        <v>46206</v>
      </c>
      <c r="B32" t="s">
        <v>106</v>
      </c>
      <c r="C32" t="s">
        <v>107</v>
      </c>
      <c r="D32" t="s">
        <v>108</v>
      </c>
      <c r="E32" t="str">
        <f t="shared" si="0"/>
        <v>Poker</v>
      </c>
      <c r="F32" t="str">
        <f t="shared" si="1"/>
        <v>EU</v>
      </c>
      <c r="G32" s="3">
        <v>46</v>
      </c>
      <c r="H32" s="3">
        <v>46</v>
      </c>
      <c r="I32" s="4">
        <v>1</v>
      </c>
      <c r="J32" s="3">
        <v>16</v>
      </c>
      <c r="K32" s="3">
        <v>28</v>
      </c>
      <c r="L32" s="3">
        <v>6</v>
      </c>
      <c r="M32" s="3">
        <v>9</v>
      </c>
      <c r="N32" s="4">
        <v>0.34782608695652173</v>
      </c>
      <c r="O32" s="4">
        <v>0.13043478260869565</v>
      </c>
      <c r="P32" s="4">
        <v>0.375</v>
      </c>
      <c r="Q32" s="3"/>
      <c r="R32" s="4"/>
      <c r="S32" s="3"/>
      <c r="T32" s="3"/>
      <c r="U32" s="4"/>
      <c r="V32" s="3"/>
    </row>
    <row r="33" spans="1:22" x14ac:dyDescent="0.3">
      <c r="A33" s="2">
        <v>46206</v>
      </c>
      <c r="B33" t="s">
        <v>109</v>
      </c>
      <c r="C33" t="s">
        <v>107</v>
      </c>
      <c r="D33" t="s">
        <v>110</v>
      </c>
      <c r="E33" t="str">
        <f t="shared" si="0"/>
        <v>Poker</v>
      </c>
      <c r="F33" t="str">
        <f t="shared" si="1"/>
        <v>EU</v>
      </c>
      <c r="G33" s="3">
        <v>8</v>
      </c>
      <c r="H33" s="3">
        <v>8</v>
      </c>
      <c r="I33" s="4">
        <v>1</v>
      </c>
      <c r="J33" s="3">
        <v>2</v>
      </c>
      <c r="K33" s="3">
        <v>3</v>
      </c>
      <c r="L33" s="3">
        <v>1</v>
      </c>
      <c r="M33" s="3">
        <v>1</v>
      </c>
      <c r="N33" s="4">
        <v>0.25</v>
      </c>
      <c r="O33" s="4">
        <v>0.125</v>
      </c>
      <c r="P33" s="4">
        <v>0.5</v>
      </c>
      <c r="Q33" s="3"/>
      <c r="R33" s="4"/>
      <c r="S33" s="3"/>
      <c r="T33" s="3"/>
      <c r="U33" s="4"/>
      <c r="V33" s="3"/>
    </row>
    <row r="34" spans="1:22" x14ac:dyDescent="0.3">
      <c r="A34" s="2">
        <v>46206</v>
      </c>
      <c r="B34" t="s">
        <v>111</v>
      </c>
      <c r="C34" t="s">
        <v>107</v>
      </c>
      <c r="D34" t="s">
        <v>112</v>
      </c>
      <c r="E34" t="str">
        <f t="shared" si="0"/>
        <v>Poker</v>
      </c>
      <c r="F34" t="str">
        <f t="shared" si="1"/>
        <v>EU</v>
      </c>
      <c r="G34" s="3">
        <v>3</v>
      </c>
      <c r="H34" s="3">
        <v>3</v>
      </c>
      <c r="I34" s="4">
        <v>1</v>
      </c>
      <c r="J34" s="3">
        <v>1</v>
      </c>
      <c r="K34" s="3">
        <v>1</v>
      </c>
      <c r="L34" s="3"/>
      <c r="M34" s="3"/>
      <c r="N34" s="4">
        <v>0.33333333333333331</v>
      </c>
      <c r="O34" s="4"/>
      <c r="P34" s="4"/>
      <c r="Q34" s="3"/>
      <c r="R34" s="4"/>
      <c r="S34" s="3"/>
      <c r="T34" s="3"/>
      <c r="U34" s="4"/>
      <c r="V34" s="3"/>
    </row>
    <row r="35" spans="1:22" x14ac:dyDescent="0.3">
      <c r="A35" s="2">
        <v>46206</v>
      </c>
      <c r="B35" t="s">
        <v>113</v>
      </c>
      <c r="C35" t="s">
        <v>107</v>
      </c>
      <c r="D35" t="s">
        <v>114</v>
      </c>
      <c r="E35" t="str">
        <f t="shared" si="0"/>
        <v>Poker</v>
      </c>
      <c r="F35" t="str">
        <f t="shared" si="1"/>
        <v>EU</v>
      </c>
      <c r="G35" s="3">
        <v>1</v>
      </c>
      <c r="H35" s="3">
        <v>1</v>
      </c>
      <c r="I35" s="4">
        <v>1</v>
      </c>
      <c r="J35" s="3"/>
      <c r="K35" s="3"/>
      <c r="L35" s="3"/>
      <c r="M35" s="3"/>
      <c r="N35" s="4"/>
      <c r="O35" s="4"/>
      <c r="P35" s="4"/>
      <c r="Q35" s="3"/>
      <c r="R35" s="4"/>
      <c r="S35" s="3"/>
      <c r="T35" s="3"/>
      <c r="U35" s="4"/>
      <c r="V35" s="3"/>
    </row>
    <row r="36" spans="1:22" x14ac:dyDescent="0.3">
      <c r="A36" s="2">
        <v>46206</v>
      </c>
      <c r="B36" t="s">
        <v>115</v>
      </c>
      <c r="C36" t="s">
        <v>107</v>
      </c>
      <c r="D36" t="s">
        <v>116</v>
      </c>
      <c r="E36" t="str">
        <f t="shared" si="0"/>
        <v>Poker</v>
      </c>
      <c r="F36" t="str">
        <f t="shared" si="1"/>
        <v>EU</v>
      </c>
      <c r="G36" s="3">
        <v>3</v>
      </c>
      <c r="H36" s="3">
        <v>3</v>
      </c>
      <c r="I36" s="4">
        <v>1</v>
      </c>
      <c r="J36" s="3">
        <v>1</v>
      </c>
      <c r="K36" s="3">
        <v>1</v>
      </c>
      <c r="L36" s="3"/>
      <c r="M36" s="3"/>
      <c r="N36" s="4">
        <v>0.33333333333333331</v>
      </c>
      <c r="O36" s="4"/>
      <c r="P36" s="4"/>
      <c r="Q36" s="3"/>
      <c r="R36" s="4"/>
      <c r="S36" s="3"/>
      <c r="T36" s="3"/>
      <c r="U36" s="4"/>
      <c r="V36" s="3"/>
    </row>
    <row r="37" spans="1:22" x14ac:dyDescent="0.3">
      <c r="A37" s="2">
        <v>46205</v>
      </c>
      <c r="B37" t="s">
        <v>117</v>
      </c>
      <c r="C37" t="s">
        <v>118</v>
      </c>
      <c r="D37" t="s">
        <v>119</v>
      </c>
      <c r="E37" t="str">
        <f t="shared" si="0"/>
        <v>Casino</v>
      </c>
      <c r="F37" t="str">
        <f t="shared" si="1"/>
        <v>EE</v>
      </c>
      <c r="G37" s="3">
        <v>882</v>
      </c>
      <c r="H37" s="3">
        <v>875</v>
      </c>
      <c r="I37" s="4">
        <v>0.99206349206349209</v>
      </c>
      <c r="J37" s="3">
        <v>135</v>
      </c>
      <c r="K37" s="3">
        <v>201</v>
      </c>
      <c r="L37" s="3">
        <v>29</v>
      </c>
      <c r="M37" s="3">
        <v>59</v>
      </c>
      <c r="N37" s="4">
        <v>0.15428571428571428</v>
      </c>
      <c r="O37" s="4">
        <v>3.3142857142857141E-2</v>
      </c>
      <c r="P37" s="4">
        <v>0.21481481481481482</v>
      </c>
      <c r="Q37" s="3"/>
      <c r="R37" s="4"/>
      <c r="S37" s="3"/>
      <c r="T37" s="3">
        <v>7</v>
      </c>
      <c r="U37" s="4">
        <v>7.9365079365079361E-3</v>
      </c>
      <c r="V37" s="3">
        <v>296</v>
      </c>
    </row>
    <row r="38" spans="1:22" x14ac:dyDescent="0.3">
      <c r="A38" s="2">
        <v>46205</v>
      </c>
      <c r="B38" t="s">
        <v>120</v>
      </c>
      <c r="C38" t="s">
        <v>121</v>
      </c>
      <c r="D38" t="s">
        <v>122</v>
      </c>
      <c r="E38" t="str">
        <f t="shared" si="0"/>
        <v>Casino</v>
      </c>
      <c r="F38" t="str">
        <f t="shared" si="1"/>
        <v>EU</v>
      </c>
      <c r="G38" s="3">
        <v>40</v>
      </c>
      <c r="H38" s="3">
        <v>40</v>
      </c>
      <c r="I38" s="4">
        <v>1</v>
      </c>
      <c r="J38" s="3">
        <v>10</v>
      </c>
      <c r="K38" s="3">
        <v>16</v>
      </c>
      <c r="L38" s="3">
        <v>4</v>
      </c>
      <c r="M38" s="3">
        <v>16</v>
      </c>
      <c r="N38" s="4">
        <v>0.25</v>
      </c>
      <c r="O38" s="4">
        <v>0.1</v>
      </c>
      <c r="P38" s="4">
        <v>0.4</v>
      </c>
      <c r="Q38" s="3"/>
      <c r="R38" s="4"/>
      <c r="S38" s="3"/>
      <c r="T38" s="3"/>
      <c r="U38" s="4"/>
      <c r="V38" s="3">
        <v>14</v>
      </c>
    </row>
    <row r="39" spans="1:22" x14ac:dyDescent="0.3">
      <c r="A39" s="2">
        <v>46205</v>
      </c>
      <c r="B39" t="s">
        <v>123</v>
      </c>
      <c r="C39" t="s">
        <v>121</v>
      </c>
      <c r="D39" t="s">
        <v>124</v>
      </c>
      <c r="E39" t="str">
        <f t="shared" si="0"/>
        <v>Casino</v>
      </c>
      <c r="F39" t="str">
        <f t="shared" si="1"/>
        <v>LV</v>
      </c>
      <c r="G39" s="3">
        <v>741</v>
      </c>
      <c r="H39" s="3">
        <v>736</v>
      </c>
      <c r="I39" s="4">
        <v>0.99325236167341435</v>
      </c>
      <c r="J39" s="3">
        <v>64</v>
      </c>
      <c r="K39" s="3">
        <v>79</v>
      </c>
      <c r="L39" s="3">
        <v>16</v>
      </c>
      <c r="M39" s="3">
        <v>38</v>
      </c>
      <c r="N39" s="4">
        <v>8.6956521739130432E-2</v>
      </c>
      <c r="O39" s="4">
        <v>2.1739130434782608E-2</v>
      </c>
      <c r="P39" s="4">
        <v>0.25</v>
      </c>
      <c r="Q39" s="3"/>
      <c r="R39" s="4"/>
      <c r="S39" s="3"/>
      <c r="T39" s="3">
        <v>5</v>
      </c>
      <c r="U39" s="4">
        <v>6.7476383265856954E-3</v>
      </c>
      <c r="V39" s="3">
        <v>195</v>
      </c>
    </row>
    <row r="40" spans="1:22" x14ac:dyDescent="0.3">
      <c r="A40" s="2">
        <v>46205</v>
      </c>
      <c r="B40" t="s">
        <v>125</v>
      </c>
      <c r="C40" t="s">
        <v>126</v>
      </c>
      <c r="D40" t="s">
        <v>127</v>
      </c>
      <c r="E40" t="str">
        <f t="shared" si="0"/>
        <v>Casino</v>
      </c>
      <c r="F40" t="str">
        <f t="shared" si="1"/>
        <v>EE</v>
      </c>
      <c r="G40" s="3">
        <v>520</v>
      </c>
      <c r="H40" s="3">
        <v>513</v>
      </c>
      <c r="I40" s="4">
        <v>0.98653846153846159</v>
      </c>
      <c r="J40" s="3">
        <v>73</v>
      </c>
      <c r="K40" s="3">
        <v>110</v>
      </c>
      <c r="L40" s="3">
        <v>28</v>
      </c>
      <c r="M40" s="3">
        <v>72</v>
      </c>
      <c r="N40" s="4">
        <v>0.14230019493177387</v>
      </c>
      <c r="O40" s="4">
        <v>5.4580896686159841E-2</v>
      </c>
      <c r="P40" s="4">
        <v>0.38356164383561642</v>
      </c>
      <c r="Q40" s="3"/>
      <c r="R40" s="4"/>
      <c r="S40" s="3"/>
      <c r="T40" s="3">
        <v>7</v>
      </c>
      <c r="U40" s="4">
        <v>1.3461538461538462E-2</v>
      </c>
      <c r="V40" s="3">
        <v>250</v>
      </c>
    </row>
    <row r="41" spans="1:22" x14ac:dyDescent="0.3">
      <c r="A41" s="2">
        <v>46205</v>
      </c>
      <c r="B41" t="s">
        <v>128</v>
      </c>
      <c r="C41" t="s">
        <v>129</v>
      </c>
      <c r="D41" t="s">
        <v>130</v>
      </c>
      <c r="E41" t="str">
        <f t="shared" si="0"/>
        <v>Casino</v>
      </c>
      <c r="F41" t="str">
        <f t="shared" si="1"/>
        <v>EU</v>
      </c>
      <c r="G41" s="3">
        <v>82</v>
      </c>
      <c r="H41" s="3">
        <v>80</v>
      </c>
      <c r="I41" s="4">
        <v>0.97560975609756095</v>
      </c>
      <c r="J41" s="3">
        <v>12</v>
      </c>
      <c r="K41" s="3">
        <v>16</v>
      </c>
      <c r="L41" s="3">
        <v>4</v>
      </c>
      <c r="M41" s="3">
        <v>15</v>
      </c>
      <c r="N41" s="4">
        <v>0.15</v>
      </c>
      <c r="O41" s="4">
        <v>0.05</v>
      </c>
      <c r="P41" s="4">
        <v>0.33333333333333331</v>
      </c>
      <c r="Q41" s="3"/>
      <c r="R41" s="4"/>
      <c r="S41" s="3"/>
      <c r="T41" s="3">
        <v>3</v>
      </c>
      <c r="U41" s="4">
        <v>3.6585365853658534E-2</v>
      </c>
      <c r="V41" s="3">
        <v>29</v>
      </c>
    </row>
    <row r="42" spans="1:22" x14ac:dyDescent="0.3">
      <c r="A42" s="2">
        <v>46205</v>
      </c>
      <c r="B42" t="s">
        <v>131</v>
      </c>
      <c r="C42" t="s">
        <v>129</v>
      </c>
      <c r="D42" t="s">
        <v>132</v>
      </c>
      <c r="E42" t="str">
        <f t="shared" si="0"/>
        <v>Casino</v>
      </c>
      <c r="F42" t="str">
        <f t="shared" si="1"/>
        <v>LV</v>
      </c>
      <c r="G42" s="3">
        <v>2820</v>
      </c>
      <c r="H42" s="3">
        <v>2776</v>
      </c>
      <c r="I42" s="4">
        <v>0.98439716312056735</v>
      </c>
      <c r="J42" s="3">
        <v>347</v>
      </c>
      <c r="K42" s="3">
        <v>432</v>
      </c>
      <c r="L42" s="3">
        <v>29</v>
      </c>
      <c r="M42" s="3">
        <v>58</v>
      </c>
      <c r="N42" s="4">
        <v>0.125</v>
      </c>
      <c r="O42" s="4">
        <v>1.0446685878962535E-2</v>
      </c>
      <c r="P42" s="4">
        <v>8.3573487031700283E-2</v>
      </c>
      <c r="Q42" s="3">
        <v>1</v>
      </c>
      <c r="R42" s="4">
        <v>3.6023054755043225E-4</v>
      </c>
      <c r="S42" s="3"/>
      <c r="T42" s="3">
        <v>43</v>
      </c>
      <c r="U42" s="4">
        <v>1.5248226950354609E-2</v>
      </c>
      <c r="V42" s="3">
        <v>461</v>
      </c>
    </row>
    <row r="43" spans="1:22" x14ac:dyDescent="0.3">
      <c r="A43" s="2">
        <v>46205</v>
      </c>
      <c r="B43" t="s">
        <v>133</v>
      </c>
      <c r="C43" t="s">
        <v>134</v>
      </c>
      <c r="D43" t="s">
        <v>135</v>
      </c>
      <c r="E43" t="str">
        <f t="shared" si="0"/>
        <v>Casino</v>
      </c>
      <c r="F43" t="str">
        <f t="shared" si="1"/>
        <v>EE</v>
      </c>
      <c r="G43" s="3">
        <v>2095</v>
      </c>
      <c r="H43" s="3">
        <v>2073</v>
      </c>
      <c r="I43" s="4">
        <v>0.98949880668257761</v>
      </c>
      <c r="J43" s="3">
        <v>303</v>
      </c>
      <c r="K43" s="3">
        <v>411</v>
      </c>
      <c r="L43" s="3">
        <v>53</v>
      </c>
      <c r="M43" s="3">
        <v>126</v>
      </c>
      <c r="N43" s="4">
        <v>0.14616497829232997</v>
      </c>
      <c r="O43" s="4">
        <v>2.5566811384466957E-2</v>
      </c>
      <c r="P43" s="4">
        <v>0.17491749174917492</v>
      </c>
      <c r="Q43" s="3">
        <v>2</v>
      </c>
      <c r="R43" s="4">
        <v>9.6478533526290404E-4</v>
      </c>
      <c r="S43" s="3"/>
      <c r="T43" s="3">
        <v>23</v>
      </c>
      <c r="U43" s="4">
        <v>1.0978520286396181E-2</v>
      </c>
      <c r="V43" s="3">
        <v>567</v>
      </c>
    </row>
    <row r="44" spans="1:22" x14ac:dyDescent="0.3">
      <c r="A44" s="2">
        <v>46205</v>
      </c>
      <c r="B44" t="s">
        <v>136</v>
      </c>
      <c r="C44" t="s">
        <v>137</v>
      </c>
      <c r="D44" t="s">
        <v>138</v>
      </c>
      <c r="E44" t="str">
        <f t="shared" si="0"/>
        <v>Casino</v>
      </c>
      <c r="F44" t="str">
        <f t="shared" si="1"/>
        <v>EU</v>
      </c>
      <c r="G44" s="3">
        <v>70</v>
      </c>
      <c r="H44" s="3">
        <v>70</v>
      </c>
      <c r="I44" s="4">
        <v>1</v>
      </c>
      <c r="J44" s="3">
        <v>8</v>
      </c>
      <c r="K44" s="3">
        <v>11</v>
      </c>
      <c r="L44" s="3">
        <v>3</v>
      </c>
      <c r="M44" s="3">
        <v>6</v>
      </c>
      <c r="N44" s="4">
        <v>0.11428571428571428</v>
      </c>
      <c r="O44" s="4">
        <v>4.2857142857142858E-2</v>
      </c>
      <c r="P44" s="4">
        <v>0.375</v>
      </c>
      <c r="Q44" s="3"/>
      <c r="R44" s="4"/>
      <c r="S44" s="3"/>
      <c r="T44" s="3"/>
      <c r="U44" s="4"/>
      <c r="V44" s="3">
        <v>30</v>
      </c>
    </row>
    <row r="45" spans="1:22" x14ac:dyDescent="0.3">
      <c r="A45" s="2">
        <v>46205</v>
      </c>
      <c r="B45" t="s">
        <v>139</v>
      </c>
      <c r="C45" t="s">
        <v>137</v>
      </c>
      <c r="D45" t="s">
        <v>140</v>
      </c>
      <c r="E45" t="str">
        <f t="shared" si="0"/>
        <v>Casino</v>
      </c>
      <c r="F45" t="str">
        <f t="shared" si="1"/>
        <v>LV</v>
      </c>
      <c r="G45" s="3">
        <v>2203</v>
      </c>
      <c r="H45" s="3">
        <v>2184</v>
      </c>
      <c r="I45" s="4">
        <v>0.99137539718565593</v>
      </c>
      <c r="J45" s="3">
        <v>276</v>
      </c>
      <c r="K45" s="3">
        <v>337</v>
      </c>
      <c r="L45" s="3">
        <v>45</v>
      </c>
      <c r="M45" s="3">
        <v>79</v>
      </c>
      <c r="N45" s="4">
        <v>0.12637362637362637</v>
      </c>
      <c r="O45" s="4">
        <v>2.0604395604395604E-2</v>
      </c>
      <c r="P45" s="4">
        <v>0.16304347826086957</v>
      </c>
      <c r="Q45" s="3">
        <v>1</v>
      </c>
      <c r="R45" s="4">
        <v>4.5787545787545788E-4</v>
      </c>
      <c r="S45" s="3"/>
      <c r="T45" s="3">
        <v>21</v>
      </c>
      <c r="U45" s="4">
        <v>9.5324557421697688E-3</v>
      </c>
      <c r="V45" s="3">
        <v>402</v>
      </c>
    </row>
    <row r="46" spans="1:22" x14ac:dyDescent="0.3">
      <c r="A46" s="2">
        <v>46205</v>
      </c>
      <c r="B46" t="s">
        <v>141</v>
      </c>
      <c r="C46" t="s">
        <v>142</v>
      </c>
      <c r="D46" t="s">
        <v>143</v>
      </c>
      <c r="E46" t="str">
        <f t="shared" si="0"/>
        <v>Casino</v>
      </c>
      <c r="F46" t="str">
        <f t="shared" si="1"/>
        <v>LV</v>
      </c>
      <c r="G46" s="3">
        <v>3231</v>
      </c>
      <c r="H46" s="3">
        <v>3206</v>
      </c>
      <c r="I46" s="4">
        <v>0.99226245744351593</v>
      </c>
      <c r="J46" s="3">
        <v>525</v>
      </c>
      <c r="K46" s="3">
        <v>731</v>
      </c>
      <c r="L46" s="3">
        <v>99</v>
      </c>
      <c r="M46" s="3">
        <v>145</v>
      </c>
      <c r="N46" s="4">
        <v>0.16375545851528384</v>
      </c>
      <c r="O46" s="4">
        <v>3.0879600748596383E-2</v>
      </c>
      <c r="P46" s="4">
        <v>0.18857142857142858</v>
      </c>
      <c r="Q46" s="3">
        <v>1</v>
      </c>
      <c r="R46" s="4">
        <v>3.1191515907673113E-4</v>
      </c>
      <c r="S46" s="3"/>
      <c r="T46" s="3">
        <v>25</v>
      </c>
      <c r="U46" s="4">
        <v>7.7375425564840603E-3</v>
      </c>
      <c r="V46" s="3">
        <v>398</v>
      </c>
    </row>
    <row r="47" spans="1:22" x14ac:dyDescent="0.3">
      <c r="A47" s="2">
        <v>46205</v>
      </c>
      <c r="B47" t="s">
        <v>144</v>
      </c>
      <c r="C47" t="s">
        <v>145</v>
      </c>
      <c r="D47" t="s">
        <v>146</v>
      </c>
      <c r="E47" t="str">
        <f t="shared" si="0"/>
        <v>Casino</v>
      </c>
      <c r="F47" t="str">
        <f t="shared" si="1"/>
        <v>EU</v>
      </c>
      <c r="G47" s="3">
        <v>84</v>
      </c>
      <c r="H47" s="3">
        <v>84</v>
      </c>
      <c r="I47" s="4">
        <v>1</v>
      </c>
      <c r="J47" s="3">
        <v>26</v>
      </c>
      <c r="K47" s="3">
        <v>44</v>
      </c>
      <c r="L47" s="3">
        <v>3</v>
      </c>
      <c r="M47" s="3">
        <v>3</v>
      </c>
      <c r="N47" s="4">
        <v>0.30952380952380953</v>
      </c>
      <c r="O47" s="4">
        <v>3.5714285714285712E-2</v>
      </c>
      <c r="P47" s="4">
        <v>0.11538461538461539</v>
      </c>
      <c r="Q47" s="3"/>
      <c r="R47" s="4"/>
      <c r="S47" s="3"/>
      <c r="T47" s="3"/>
      <c r="U47" s="4"/>
      <c r="V47" s="3">
        <v>16</v>
      </c>
    </row>
    <row r="48" spans="1:22" x14ac:dyDescent="0.3">
      <c r="A48" s="2">
        <v>46205</v>
      </c>
      <c r="B48" t="s">
        <v>147</v>
      </c>
      <c r="C48" t="s">
        <v>148</v>
      </c>
      <c r="D48" t="s">
        <v>149</v>
      </c>
      <c r="E48" t="str">
        <f t="shared" si="0"/>
        <v>Casino</v>
      </c>
      <c r="F48" t="str">
        <f t="shared" si="1"/>
        <v>EE</v>
      </c>
      <c r="G48" s="3">
        <v>2136</v>
      </c>
      <c r="H48" s="3">
        <v>2123</v>
      </c>
      <c r="I48" s="4">
        <v>0.99391385767790263</v>
      </c>
      <c r="J48" s="3">
        <v>490</v>
      </c>
      <c r="K48" s="3">
        <v>767</v>
      </c>
      <c r="L48" s="3">
        <v>40</v>
      </c>
      <c r="M48" s="3">
        <v>91</v>
      </c>
      <c r="N48" s="4">
        <v>0.23080546396608573</v>
      </c>
      <c r="O48" s="4">
        <v>1.8841262364578427E-2</v>
      </c>
      <c r="P48" s="4">
        <v>8.1632653061224483E-2</v>
      </c>
      <c r="Q48" s="3"/>
      <c r="R48" s="4"/>
      <c r="S48" s="3"/>
      <c r="T48" s="3">
        <v>15</v>
      </c>
      <c r="U48" s="4">
        <v>7.0224719101123594E-3</v>
      </c>
      <c r="V48" s="3">
        <v>497</v>
      </c>
    </row>
    <row r="49" spans="1:22" x14ac:dyDescent="0.3">
      <c r="A49" s="2">
        <v>46205</v>
      </c>
      <c r="B49" t="s">
        <v>150</v>
      </c>
      <c r="C49" t="s">
        <v>151</v>
      </c>
      <c r="D49" t="s">
        <v>152</v>
      </c>
      <c r="E49" t="str">
        <f t="shared" si="0"/>
        <v>Poker</v>
      </c>
      <c r="F49" t="str">
        <f t="shared" si="1"/>
        <v>EE</v>
      </c>
      <c r="G49" s="3">
        <v>276</v>
      </c>
      <c r="H49" s="3">
        <v>276</v>
      </c>
      <c r="I49" s="4">
        <v>1</v>
      </c>
      <c r="J49" s="3">
        <v>51</v>
      </c>
      <c r="K49" s="3">
        <v>63</v>
      </c>
      <c r="L49" s="3"/>
      <c r="M49" s="3"/>
      <c r="N49" s="4">
        <v>0.18478260869565216</v>
      </c>
      <c r="O49" s="4"/>
      <c r="P49" s="4"/>
      <c r="Q49" s="3"/>
      <c r="R49" s="4"/>
      <c r="S49" s="3"/>
      <c r="T49" s="3"/>
      <c r="U49" s="4"/>
      <c r="V49" s="3">
        <v>81</v>
      </c>
    </row>
    <row r="50" spans="1:22" x14ac:dyDescent="0.3">
      <c r="A50" s="2">
        <v>46205</v>
      </c>
      <c r="B50" t="s">
        <v>153</v>
      </c>
      <c r="C50" t="s">
        <v>151</v>
      </c>
      <c r="D50" t="s">
        <v>154</v>
      </c>
      <c r="E50" t="str">
        <f t="shared" si="0"/>
        <v>Poker</v>
      </c>
      <c r="F50" t="str">
        <f t="shared" si="1"/>
        <v>EU</v>
      </c>
      <c r="G50" s="3">
        <v>137</v>
      </c>
      <c r="H50" s="3">
        <v>137</v>
      </c>
      <c r="I50" s="4">
        <v>1</v>
      </c>
      <c r="J50" s="3">
        <v>23</v>
      </c>
      <c r="K50" s="3">
        <v>38</v>
      </c>
      <c r="L50" s="3">
        <v>1</v>
      </c>
      <c r="M50" s="3">
        <v>1</v>
      </c>
      <c r="N50" s="4">
        <v>0.16788321167883211</v>
      </c>
      <c r="O50" s="4">
        <v>7.2992700729927005E-3</v>
      </c>
      <c r="P50" s="4">
        <v>4.3478260869565216E-2</v>
      </c>
      <c r="Q50" s="3"/>
      <c r="R50" s="4"/>
      <c r="S50" s="3"/>
      <c r="T50" s="3"/>
      <c r="U50" s="4"/>
      <c r="V50" s="3">
        <v>11</v>
      </c>
    </row>
    <row r="51" spans="1:22" x14ac:dyDescent="0.3">
      <c r="A51" s="2">
        <v>46205</v>
      </c>
      <c r="B51" t="s">
        <v>155</v>
      </c>
      <c r="C51" t="s">
        <v>151</v>
      </c>
      <c r="D51" t="s">
        <v>156</v>
      </c>
      <c r="E51" t="str">
        <f t="shared" si="0"/>
        <v>Poker</v>
      </c>
      <c r="F51" t="str">
        <f t="shared" si="1"/>
        <v>LV</v>
      </c>
      <c r="G51" s="3">
        <v>235</v>
      </c>
      <c r="H51" s="3">
        <v>233</v>
      </c>
      <c r="I51" s="4">
        <v>0.99148936170212765</v>
      </c>
      <c r="J51" s="3">
        <v>43</v>
      </c>
      <c r="K51" s="3">
        <v>55</v>
      </c>
      <c r="L51" s="3"/>
      <c r="M51" s="3"/>
      <c r="N51" s="4">
        <v>0.18454935622317598</v>
      </c>
      <c r="O51" s="4"/>
      <c r="P51" s="4"/>
      <c r="Q51" s="3"/>
      <c r="R51" s="4"/>
      <c r="S51" s="3"/>
      <c r="T51" s="3">
        <v>2</v>
      </c>
      <c r="U51" s="4">
        <v>8.5106382978723406E-3</v>
      </c>
      <c r="V51" s="3">
        <v>51</v>
      </c>
    </row>
    <row r="52" spans="1:22" x14ac:dyDescent="0.3">
      <c r="A52" s="2">
        <v>46205</v>
      </c>
      <c r="B52" t="s">
        <v>157</v>
      </c>
      <c r="C52" t="s">
        <v>158</v>
      </c>
      <c r="D52" t="s">
        <v>159</v>
      </c>
      <c r="E52" t="str">
        <f t="shared" si="0"/>
        <v>Casino</v>
      </c>
      <c r="F52" t="str">
        <f t="shared" si="1"/>
        <v>EE</v>
      </c>
      <c r="G52" s="3">
        <v>91</v>
      </c>
      <c r="H52" s="3">
        <v>90</v>
      </c>
      <c r="I52" s="4">
        <v>0.98901098901098905</v>
      </c>
      <c r="J52" s="3">
        <v>31</v>
      </c>
      <c r="K52" s="3">
        <v>38</v>
      </c>
      <c r="L52" s="3">
        <v>22</v>
      </c>
      <c r="M52" s="3">
        <v>38</v>
      </c>
      <c r="N52" s="4">
        <v>0.34444444444444444</v>
      </c>
      <c r="O52" s="4">
        <v>0.24444444444444444</v>
      </c>
      <c r="P52" s="4">
        <v>0.70967741935483875</v>
      </c>
      <c r="Q52" s="3"/>
      <c r="R52" s="4"/>
      <c r="S52" s="3"/>
      <c r="T52" s="3">
        <v>1</v>
      </c>
      <c r="U52" s="4">
        <v>1.098901098901099E-2</v>
      </c>
      <c r="V52" s="3">
        <v>33</v>
      </c>
    </row>
    <row r="53" spans="1:22" x14ac:dyDescent="0.3">
      <c r="A53" s="2">
        <v>46205</v>
      </c>
      <c r="B53" t="s">
        <v>160</v>
      </c>
      <c r="C53" t="s">
        <v>161</v>
      </c>
      <c r="D53" t="s">
        <v>162</v>
      </c>
      <c r="E53" t="str">
        <f t="shared" si="0"/>
        <v>Casino</v>
      </c>
      <c r="F53" t="str">
        <f t="shared" si="1"/>
        <v>EU</v>
      </c>
      <c r="G53" s="3">
        <v>18</v>
      </c>
      <c r="H53" s="3">
        <v>18</v>
      </c>
      <c r="I53" s="4">
        <v>1</v>
      </c>
      <c r="J53" s="3">
        <v>4</v>
      </c>
      <c r="K53" s="3">
        <v>7</v>
      </c>
      <c r="L53" s="3">
        <v>1</v>
      </c>
      <c r="M53" s="3">
        <v>1</v>
      </c>
      <c r="N53" s="4">
        <v>0.22222222222222221</v>
      </c>
      <c r="O53" s="4">
        <v>5.5555555555555552E-2</v>
      </c>
      <c r="P53" s="4">
        <v>0.25</v>
      </c>
      <c r="Q53" s="3"/>
      <c r="R53" s="4"/>
      <c r="S53" s="3"/>
      <c r="T53" s="3"/>
      <c r="U53" s="4"/>
      <c r="V53" s="3">
        <v>4</v>
      </c>
    </row>
    <row r="54" spans="1:22" x14ac:dyDescent="0.3">
      <c r="A54" s="2">
        <v>46205</v>
      </c>
      <c r="B54" t="s">
        <v>163</v>
      </c>
      <c r="C54" t="s">
        <v>161</v>
      </c>
      <c r="D54" t="s">
        <v>164</v>
      </c>
      <c r="E54" t="str">
        <f t="shared" si="0"/>
        <v>Casino</v>
      </c>
      <c r="F54" t="str">
        <f t="shared" si="1"/>
        <v>LV</v>
      </c>
      <c r="G54" s="3">
        <v>75</v>
      </c>
      <c r="H54" s="3">
        <v>75</v>
      </c>
      <c r="I54" s="4">
        <v>1</v>
      </c>
      <c r="J54" s="3">
        <v>17</v>
      </c>
      <c r="K54" s="3">
        <v>35</v>
      </c>
      <c r="L54" s="3">
        <v>8</v>
      </c>
      <c r="M54" s="3">
        <v>12</v>
      </c>
      <c r="N54" s="4">
        <v>0.22666666666666666</v>
      </c>
      <c r="O54" s="4">
        <v>0.10666666666666667</v>
      </c>
      <c r="P54" s="4">
        <v>0.47058823529411764</v>
      </c>
      <c r="Q54" s="3"/>
      <c r="R54" s="4"/>
      <c r="S54" s="3"/>
      <c r="T54" s="3"/>
      <c r="U54" s="4"/>
      <c r="V54" s="3">
        <v>13</v>
      </c>
    </row>
    <row r="55" spans="1:22" x14ac:dyDescent="0.3">
      <c r="A55" s="2">
        <v>46205</v>
      </c>
      <c r="B55" t="s">
        <v>165</v>
      </c>
      <c r="C55" t="s">
        <v>166</v>
      </c>
      <c r="D55" t="s">
        <v>167</v>
      </c>
      <c r="E55" t="str">
        <f t="shared" si="0"/>
        <v>Casino</v>
      </c>
      <c r="F55" t="str">
        <f t="shared" si="1"/>
        <v>LV</v>
      </c>
      <c r="G55" s="3">
        <v>138</v>
      </c>
      <c r="H55" s="3">
        <v>138</v>
      </c>
      <c r="I55" s="4">
        <v>1</v>
      </c>
      <c r="J55" s="3">
        <v>31</v>
      </c>
      <c r="K55" s="3">
        <v>42</v>
      </c>
      <c r="L55" s="3">
        <v>9</v>
      </c>
      <c r="M55" s="3">
        <v>17</v>
      </c>
      <c r="N55" s="4">
        <v>0.22463768115942029</v>
      </c>
      <c r="O55" s="4">
        <v>6.5217391304347824E-2</v>
      </c>
      <c r="P55" s="4">
        <v>0.29032258064516131</v>
      </c>
      <c r="Q55" s="3"/>
      <c r="R55" s="4"/>
      <c r="S55" s="3"/>
      <c r="T55" s="3"/>
      <c r="U55" s="4"/>
      <c r="V55" s="3">
        <v>41</v>
      </c>
    </row>
    <row r="56" spans="1:22" x14ac:dyDescent="0.3">
      <c r="A56" s="2">
        <v>46205</v>
      </c>
      <c r="B56" t="s">
        <v>168</v>
      </c>
      <c r="C56" t="s">
        <v>169</v>
      </c>
      <c r="D56" t="s">
        <v>170</v>
      </c>
      <c r="E56" t="str">
        <f t="shared" si="0"/>
        <v>Casino</v>
      </c>
      <c r="F56" t="str">
        <f t="shared" si="1"/>
        <v>EU</v>
      </c>
      <c r="G56" s="3">
        <v>23</v>
      </c>
      <c r="H56" s="3">
        <v>23</v>
      </c>
      <c r="I56" s="4">
        <v>1</v>
      </c>
      <c r="J56" s="3">
        <v>6</v>
      </c>
      <c r="K56" s="3">
        <v>7</v>
      </c>
      <c r="L56" s="3">
        <v>3</v>
      </c>
      <c r="M56" s="3">
        <v>5</v>
      </c>
      <c r="N56" s="4">
        <v>0.2608695652173913</v>
      </c>
      <c r="O56" s="4">
        <v>0.13043478260869565</v>
      </c>
      <c r="P56" s="4">
        <v>0.5</v>
      </c>
      <c r="Q56" s="3"/>
      <c r="R56" s="4"/>
      <c r="S56" s="3"/>
      <c r="T56" s="3"/>
      <c r="U56" s="4"/>
      <c r="V56" s="3">
        <v>8</v>
      </c>
    </row>
    <row r="57" spans="1:22" x14ac:dyDescent="0.3">
      <c r="A57" s="2">
        <v>46205</v>
      </c>
      <c r="B57" t="s">
        <v>171</v>
      </c>
      <c r="C57" t="s">
        <v>172</v>
      </c>
      <c r="D57" t="s">
        <v>173</v>
      </c>
      <c r="E57" t="str">
        <f t="shared" si="0"/>
        <v>Casino</v>
      </c>
      <c r="F57" t="str">
        <f t="shared" si="1"/>
        <v>EE</v>
      </c>
      <c r="G57" s="3">
        <v>309</v>
      </c>
      <c r="H57" s="3">
        <v>309</v>
      </c>
      <c r="I57" s="4">
        <v>1</v>
      </c>
      <c r="J57" s="3">
        <v>102</v>
      </c>
      <c r="K57" s="3">
        <v>165</v>
      </c>
      <c r="L57" s="3">
        <v>10</v>
      </c>
      <c r="M57" s="3">
        <v>35</v>
      </c>
      <c r="N57" s="4">
        <v>0.3300970873786408</v>
      </c>
      <c r="O57" s="4">
        <v>3.2362459546925564E-2</v>
      </c>
      <c r="P57" s="4">
        <v>9.8039215686274508E-2</v>
      </c>
      <c r="Q57" s="3"/>
      <c r="R57" s="4"/>
      <c r="S57" s="3"/>
      <c r="T57" s="3"/>
      <c r="U57" s="4"/>
      <c r="V57" s="3">
        <v>75</v>
      </c>
    </row>
    <row r="58" spans="1:22" x14ac:dyDescent="0.3">
      <c r="A58" s="2">
        <v>46204</v>
      </c>
      <c r="B58" t="s">
        <v>174</v>
      </c>
      <c r="C58" t="s">
        <v>175</v>
      </c>
      <c r="D58" t="s">
        <v>176</v>
      </c>
      <c r="E58" t="str">
        <f t="shared" si="0"/>
        <v>Sport</v>
      </c>
      <c r="F58" t="str">
        <f t="shared" si="1"/>
        <v>EE</v>
      </c>
      <c r="G58" s="3">
        <v>1416</v>
      </c>
      <c r="H58" s="3">
        <v>1410</v>
      </c>
      <c r="I58" s="4">
        <v>0.99576271186440679</v>
      </c>
      <c r="J58" s="3">
        <v>474</v>
      </c>
      <c r="K58" s="3">
        <v>695</v>
      </c>
      <c r="L58" s="3">
        <v>33</v>
      </c>
      <c r="M58" s="3">
        <v>48</v>
      </c>
      <c r="N58" s="4">
        <v>0.33617021276595743</v>
      </c>
      <c r="O58" s="4">
        <v>2.3404255319148935E-2</v>
      </c>
      <c r="P58" s="4">
        <v>6.9620253164556958E-2</v>
      </c>
      <c r="Q58" s="3"/>
      <c r="R58" s="4"/>
      <c r="S58" s="3"/>
      <c r="T58" s="3">
        <v>6</v>
      </c>
      <c r="U58" s="4">
        <v>4.2372881355932203E-3</v>
      </c>
      <c r="V58" s="3">
        <v>383</v>
      </c>
    </row>
    <row r="59" spans="1:22" x14ac:dyDescent="0.3">
      <c r="A59" s="2">
        <v>46204</v>
      </c>
      <c r="B59" t="s">
        <v>177</v>
      </c>
      <c r="C59" t="s">
        <v>175</v>
      </c>
      <c r="D59" t="s">
        <v>178</v>
      </c>
      <c r="E59" t="str">
        <f t="shared" si="0"/>
        <v>Sport</v>
      </c>
      <c r="F59" t="str">
        <f t="shared" si="1"/>
        <v>LV</v>
      </c>
      <c r="G59" s="3">
        <v>2370</v>
      </c>
      <c r="H59" s="3">
        <v>2348</v>
      </c>
      <c r="I59" s="4">
        <v>0.9907172995780591</v>
      </c>
      <c r="J59" s="3">
        <v>559</v>
      </c>
      <c r="K59" s="3">
        <v>827</v>
      </c>
      <c r="L59" s="3">
        <v>81</v>
      </c>
      <c r="M59" s="3">
        <v>149</v>
      </c>
      <c r="N59" s="4">
        <v>0.23807495741056217</v>
      </c>
      <c r="O59" s="4">
        <v>3.4497444633730834E-2</v>
      </c>
      <c r="P59" s="4">
        <v>0.14490161001788909</v>
      </c>
      <c r="Q59" s="3">
        <v>1</v>
      </c>
      <c r="R59" s="4">
        <v>4.2589437819420784E-4</v>
      </c>
      <c r="S59" s="3"/>
      <c r="T59" s="3">
        <v>22</v>
      </c>
      <c r="U59" s="4">
        <v>9.282700421940928E-3</v>
      </c>
      <c r="V59" s="3">
        <v>409</v>
      </c>
    </row>
    <row r="60" spans="1:22" x14ac:dyDescent="0.3">
      <c r="A60" s="2">
        <v>46204</v>
      </c>
      <c r="B60" t="s">
        <v>179</v>
      </c>
      <c r="C60" t="s">
        <v>180</v>
      </c>
      <c r="D60" t="s">
        <v>181</v>
      </c>
      <c r="E60" t="str">
        <f t="shared" si="0"/>
        <v>Casino</v>
      </c>
      <c r="F60" t="str">
        <f t="shared" si="1"/>
        <v>EE</v>
      </c>
      <c r="G60" s="3">
        <v>5</v>
      </c>
      <c r="H60" s="3">
        <v>5</v>
      </c>
      <c r="I60" s="4">
        <v>1</v>
      </c>
      <c r="J60" s="3">
        <v>2</v>
      </c>
      <c r="K60" s="3">
        <v>2</v>
      </c>
      <c r="L60" s="3"/>
      <c r="M60" s="3"/>
      <c r="N60" s="4">
        <v>0.4</v>
      </c>
      <c r="O60" s="4"/>
      <c r="P60" s="4"/>
      <c r="Q60" s="3"/>
      <c r="R60" s="4"/>
      <c r="S60" s="3"/>
      <c r="T60" s="3"/>
      <c r="U60" s="4"/>
      <c r="V60" s="3"/>
    </row>
    <row r="61" spans="1:22" x14ac:dyDescent="0.3">
      <c r="A61" s="2">
        <v>46204</v>
      </c>
      <c r="B61" t="s">
        <v>182</v>
      </c>
      <c r="C61" t="s">
        <v>183</v>
      </c>
      <c r="D61" t="s">
        <v>184</v>
      </c>
      <c r="E61" t="str">
        <f t="shared" si="0"/>
        <v>Casino</v>
      </c>
      <c r="F61" t="str">
        <f t="shared" si="1"/>
        <v>LV</v>
      </c>
      <c r="G61" s="3">
        <v>2</v>
      </c>
      <c r="H61" s="3">
        <v>2</v>
      </c>
      <c r="I61" s="4">
        <v>1</v>
      </c>
      <c r="J61" s="3">
        <v>2</v>
      </c>
      <c r="K61" s="3">
        <v>8</v>
      </c>
      <c r="L61" s="3"/>
      <c r="M61" s="3"/>
      <c r="N61" s="4">
        <v>1</v>
      </c>
      <c r="O61" s="4"/>
      <c r="P61" s="4"/>
      <c r="Q61" s="3"/>
      <c r="R61" s="4"/>
      <c r="S61" s="3"/>
      <c r="T61" s="3"/>
      <c r="U61" s="4"/>
      <c r="V61" s="3">
        <v>2</v>
      </c>
    </row>
    <row r="62" spans="1:22" x14ac:dyDescent="0.3">
      <c r="A62" s="2">
        <v>46204</v>
      </c>
      <c r="B62" t="s">
        <v>185</v>
      </c>
      <c r="C62" t="s">
        <v>186</v>
      </c>
      <c r="D62" t="s">
        <v>187</v>
      </c>
      <c r="E62" t="str">
        <f t="shared" si="0"/>
        <v>Casino</v>
      </c>
      <c r="F62" t="str">
        <f t="shared" si="1"/>
        <v>EU</v>
      </c>
      <c r="G62" s="3">
        <v>2</v>
      </c>
      <c r="H62" s="3">
        <v>2</v>
      </c>
      <c r="I62" s="4">
        <v>1</v>
      </c>
      <c r="J62" s="3">
        <v>1</v>
      </c>
      <c r="K62" s="3">
        <v>5</v>
      </c>
      <c r="L62" s="3">
        <v>1</v>
      </c>
      <c r="M62" s="3">
        <v>3</v>
      </c>
      <c r="N62" s="4">
        <v>0.5</v>
      </c>
      <c r="O62" s="4">
        <v>0.5</v>
      </c>
      <c r="P62" s="4">
        <v>1</v>
      </c>
      <c r="Q62" s="3"/>
      <c r="R62" s="4"/>
      <c r="S62" s="3"/>
      <c r="T62" s="3"/>
      <c r="U62" s="4"/>
      <c r="V62" s="3"/>
    </row>
    <row r="63" spans="1:22" x14ac:dyDescent="0.3">
      <c r="A63" s="2">
        <v>46204</v>
      </c>
      <c r="B63" t="s">
        <v>188</v>
      </c>
      <c r="C63" t="s">
        <v>189</v>
      </c>
      <c r="D63" t="s">
        <v>190</v>
      </c>
      <c r="E63" t="str">
        <f t="shared" si="0"/>
        <v>Casino</v>
      </c>
      <c r="F63" t="str">
        <f t="shared" si="1"/>
        <v>EE</v>
      </c>
      <c r="G63" s="3">
        <v>145</v>
      </c>
      <c r="H63" s="3">
        <v>145</v>
      </c>
      <c r="I63" s="4">
        <v>1</v>
      </c>
      <c r="J63" s="3">
        <v>60</v>
      </c>
      <c r="K63" s="3">
        <v>106</v>
      </c>
      <c r="L63" s="3">
        <v>31</v>
      </c>
      <c r="M63" s="3">
        <v>57</v>
      </c>
      <c r="N63" s="4">
        <v>0.41379310344827586</v>
      </c>
      <c r="O63" s="4">
        <v>0.21379310344827587</v>
      </c>
      <c r="P63" s="4">
        <v>0.51666666666666672</v>
      </c>
      <c r="Q63" s="3"/>
      <c r="R63" s="4"/>
      <c r="S63" s="3"/>
      <c r="T63" s="3"/>
      <c r="U63" s="4"/>
      <c r="V63" s="3">
        <v>36</v>
      </c>
    </row>
    <row r="64" spans="1:22" x14ac:dyDescent="0.3">
      <c r="A64" s="2">
        <v>46204</v>
      </c>
      <c r="B64" t="s">
        <v>191</v>
      </c>
      <c r="C64" t="s">
        <v>192</v>
      </c>
      <c r="D64" t="s">
        <v>193</v>
      </c>
      <c r="E64" t="str">
        <f t="shared" si="0"/>
        <v>Casino</v>
      </c>
      <c r="F64" t="str">
        <f t="shared" si="1"/>
        <v>LV</v>
      </c>
      <c r="G64" s="3">
        <v>173</v>
      </c>
      <c r="H64" s="3">
        <v>172</v>
      </c>
      <c r="I64" s="4">
        <v>0.9942196531791907</v>
      </c>
      <c r="J64" s="3">
        <v>44</v>
      </c>
      <c r="K64" s="3">
        <v>87</v>
      </c>
      <c r="L64" s="3">
        <v>36</v>
      </c>
      <c r="M64" s="3">
        <v>65</v>
      </c>
      <c r="N64" s="4">
        <v>0.2558139534883721</v>
      </c>
      <c r="O64" s="4">
        <v>0.20930232558139536</v>
      </c>
      <c r="P64" s="4">
        <v>0.81818181818181823</v>
      </c>
      <c r="Q64" s="3"/>
      <c r="R64" s="4"/>
      <c r="S64" s="3"/>
      <c r="T64" s="3">
        <v>1</v>
      </c>
      <c r="U64" s="4">
        <v>5.7803468208092483E-3</v>
      </c>
      <c r="V64" s="3">
        <v>24</v>
      </c>
    </row>
    <row r="65" spans="1:22" x14ac:dyDescent="0.3">
      <c r="A65" s="2">
        <v>46204</v>
      </c>
      <c r="B65" t="s">
        <v>194</v>
      </c>
      <c r="C65" t="s">
        <v>195</v>
      </c>
      <c r="D65" t="s">
        <v>196</v>
      </c>
      <c r="E65" t="str">
        <f t="shared" ref="E65:E128" si="2">IF(OR(ISNUMBER(SEARCH("poker",C65)),ISNUMBER(SEARCH("poker",D65))),"Poker",IF(OR(ISNUMBER(SEARCH("sport",C65)),ISNUMBER(SEARCH("sport",D65)),ISNUMBER(SEARCH("esport",D65)),ISNUMBER(SEARCH("freebet",D65)),ISNUMBER(SEARCH(" FB",C65)),ISNUMBER(SEARCH("NBA",D65))),"Sport",IF(OR(ISNUMBER(SEARCH("casino",C65)),ISNUMBER(SEARCH("casino",D65)),ISNUMBER(SEARCH("slot",D65)),ISNUMBER(SEARCH("jackpot",D65))),"Casino","")))</f>
        <v>Casino</v>
      </c>
      <c r="F65" t="str">
        <f t="shared" ref="F65:F128" si="3">IFERROR(IF(ISNUMBER(SEARCH(" EE "," "&amp;SUBSTITUTE(D65,"/"," ")&amp;" ")),"EE",IF(ISNUMBER(SEARCH(" EU "," "&amp;SUBSTITUTE(D65,"/"," ")&amp;" ")),"EU",IF(ISNUMBER(SEARCH(" LV "," "&amp;SUBSTITUTE(D65,"/"," ")&amp;" ")),"LV",IF(ISNUMBER(SEARCH("estonia",C65&amp;D65)),"EE",IF(OR(ISNUMBER(SEARCH("finland",C65&amp;D65)),ISNUMBER(SEARCH(" EU",D65))),"EU",IF(ISNUMBER(SEARCH("latvia",C65&amp;D65)),"LV",IF(ISNUMBER(SEARCH("EE",D65)),"EE",IF(ISNUMBER(SEARCH("LV",D65)),"LV","")))))))),"")</f>
        <v>EU</v>
      </c>
      <c r="G65" s="3">
        <v>10</v>
      </c>
      <c r="H65" s="3">
        <v>10</v>
      </c>
      <c r="I65" s="4">
        <v>1</v>
      </c>
      <c r="J65" s="3">
        <v>4</v>
      </c>
      <c r="K65" s="3">
        <v>4</v>
      </c>
      <c r="L65" s="3">
        <v>2</v>
      </c>
      <c r="M65" s="3">
        <v>3</v>
      </c>
      <c r="N65" s="4">
        <v>0.4</v>
      </c>
      <c r="O65" s="4">
        <v>0.2</v>
      </c>
      <c r="P65" s="4">
        <v>0.5</v>
      </c>
      <c r="Q65" s="3"/>
      <c r="R65" s="4"/>
      <c r="S65" s="3"/>
      <c r="T65" s="3"/>
      <c r="U65" s="4"/>
      <c r="V65" s="3"/>
    </row>
    <row r="66" spans="1:22" x14ac:dyDescent="0.3">
      <c r="A66" s="2">
        <v>46204</v>
      </c>
      <c r="B66" t="s">
        <v>197</v>
      </c>
      <c r="C66" t="s">
        <v>198</v>
      </c>
      <c r="D66" t="s">
        <v>199</v>
      </c>
      <c r="E66" t="str">
        <f t="shared" si="2"/>
        <v>Casino</v>
      </c>
      <c r="F66" t="str">
        <f t="shared" si="3"/>
        <v>EE</v>
      </c>
      <c r="G66" s="3">
        <v>1</v>
      </c>
      <c r="H66" s="3">
        <v>1</v>
      </c>
      <c r="I66" s="4">
        <v>1</v>
      </c>
      <c r="J66" s="3"/>
      <c r="K66" s="3"/>
      <c r="L66" s="3"/>
      <c r="M66" s="3"/>
      <c r="N66" s="4"/>
      <c r="O66" s="4"/>
      <c r="P66" s="4"/>
      <c r="Q66" s="3"/>
      <c r="R66" s="4"/>
      <c r="S66" s="3"/>
      <c r="T66" s="3"/>
      <c r="U66" s="4"/>
      <c r="V66" s="3"/>
    </row>
    <row r="67" spans="1:22" x14ac:dyDescent="0.3">
      <c r="A67" s="2">
        <v>46204</v>
      </c>
      <c r="B67" t="s">
        <v>200</v>
      </c>
      <c r="C67" t="s">
        <v>201</v>
      </c>
      <c r="D67" t="s">
        <v>202</v>
      </c>
      <c r="E67" t="str">
        <f t="shared" si="2"/>
        <v>Casino</v>
      </c>
      <c r="F67" t="str">
        <f t="shared" si="3"/>
        <v>LV</v>
      </c>
      <c r="G67" s="3">
        <v>3</v>
      </c>
      <c r="H67" s="3">
        <v>3</v>
      </c>
      <c r="I67" s="4">
        <v>1</v>
      </c>
      <c r="J67" s="3"/>
      <c r="K67" s="3"/>
      <c r="L67" s="3">
        <v>2</v>
      </c>
      <c r="M67" s="3">
        <v>2</v>
      </c>
      <c r="N67" s="4"/>
      <c r="O67" s="4">
        <v>0.66666666666666663</v>
      </c>
      <c r="P67" s="4"/>
      <c r="Q67" s="3"/>
      <c r="R67" s="4"/>
      <c r="S67" s="3"/>
      <c r="T67" s="3"/>
      <c r="U67" s="4"/>
      <c r="V67" s="3"/>
    </row>
    <row r="68" spans="1:22" x14ac:dyDescent="0.3">
      <c r="A68" s="2">
        <v>46204</v>
      </c>
      <c r="B68" t="s">
        <v>203</v>
      </c>
      <c r="C68" t="s">
        <v>204</v>
      </c>
      <c r="D68" t="s">
        <v>205</v>
      </c>
      <c r="E68" t="str">
        <f t="shared" si="2"/>
        <v>Casino</v>
      </c>
      <c r="F68" t="str">
        <f t="shared" si="3"/>
        <v>EU</v>
      </c>
      <c r="G68" s="3">
        <v>1</v>
      </c>
      <c r="H68" s="3">
        <v>1</v>
      </c>
      <c r="I68" s="4">
        <v>1</v>
      </c>
      <c r="J68" s="3">
        <v>1</v>
      </c>
      <c r="K68" s="3">
        <v>3</v>
      </c>
      <c r="L68" s="3">
        <v>1</v>
      </c>
      <c r="M68" s="3">
        <v>2</v>
      </c>
      <c r="N68" s="4">
        <v>1</v>
      </c>
      <c r="O68" s="4">
        <v>1</v>
      </c>
      <c r="P68" s="4">
        <v>1</v>
      </c>
      <c r="Q68" s="3"/>
      <c r="R68" s="4"/>
      <c r="S68" s="3"/>
      <c r="T68" s="3"/>
      <c r="U68" s="4"/>
      <c r="V68" s="3"/>
    </row>
    <row r="69" spans="1:22" x14ac:dyDescent="0.3">
      <c r="A69" s="2">
        <v>46204</v>
      </c>
      <c r="B69" t="s">
        <v>206</v>
      </c>
      <c r="C69" t="s">
        <v>207</v>
      </c>
      <c r="D69" t="s">
        <v>208</v>
      </c>
      <c r="E69" t="str">
        <f t="shared" si="2"/>
        <v>Casino</v>
      </c>
      <c r="F69" t="str">
        <f t="shared" si="3"/>
        <v>EE</v>
      </c>
      <c r="G69" s="3">
        <v>80</v>
      </c>
      <c r="H69" s="3">
        <v>79</v>
      </c>
      <c r="I69" s="4">
        <v>0.98750000000000004</v>
      </c>
      <c r="J69" s="3">
        <v>26</v>
      </c>
      <c r="K69" s="3">
        <v>35</v>
      </c>
      <c r="L69" s="3">
        <v>13</v>
      </c>
      <c r="M69" s="3">
        <v>27</v>
      </c>
      <c r="N69" s="4">
        <v>0.32911392405063289</v>
      </c>
      <c r="O69" s="4">
        <v>0.16455696202531644</v>
      </c>
      <c r="P69" s="4">
        <v>0.5</v>
      </c>
      <c r="Q69" s="3"/>
      <c r="R69" s="4"/>
      <c r="S69" s="3"/>
      <c r="T69" s="3">
        <v>2</v>
      </c>
      <c r="U69" s="4">
        <v>2.5000000000000001E-2</v>
      </c>
      <c r="V69" s="3">
        <v>18</v>
      </c>
    </row>
    <row r="70" spans="1:22" x14ac:dyDescent="0.3">
      <c r="A70" s="2">
        <v>46204</v>
      </c>
      <c r="B70" t="s">
        <v>209</v>
      </c>
      <c r="C70" t="s">
        <v>210</v>
      </c>
      <c r="D70" t="s">
        <v>211</v>
      </c>
      <c r="E70" t="str">
        <f t="shared" si="2"/>
        <v>Casino</v>
      </c>
      <c r="F70" t="str">
        <f t="shared" si="3"/>
        <v>LV</v>
      </c>
      <c r="G70" s="3">
        <v>49</v>
      </c>
      <c r="H70" s="3">
        <v>48</v>
      </c>
      <c r="I70" s="4">
        <v>0.97959183673469385</v>
      </c>
      <c r="J70" s="3">
        <v>11</v>
      </c>
      <c r="K70" s="3">
        <v>18</v>
      </c>
      <c r="L70" s="3">
        <v>6</v>
      </c>
      <c r="M70" s="3">
        <v>14</v>
      </c>
      <c r="N70" s="4">
        <v>0.22916666666666666</v>
      </c>
      <c r="O70" s="4">
        <v>0.125</v>
      </c>
      <c r="P70" s="4">
        <v>0.54545454545454541</v>
      </c>
      <c r="Q70" s="3"/>
      <c r="R70" s="4"/>
      <c r="S70" s="3"/>
      <c r="T70" s="3">
        <v>1</v>
      </c>
      <c r="U70" s="4">
        <v>2.0408163265306121E-2</v>
      </c>
      <c r="V70" s="3">
        <v>6</v>
      </c>
    </row>
    <row r="71" spans="1:22" x14ac:dyDescent="0.3">
      <c r="A71" s="2">
        <v>46204</v>
      </c>
      <c r="B71" t="s">
        <v>212</v>
      </c>
      <c r="C71" t="s">
        <v>213</v>
      </c>
      <c r="D71" t="s">
        <v>214</v>
      </c>
      <c r="E71" t="str">
        <f t="shared" si="2"/>
        <v>Casino</v>
      </c>
      <c r="F71" t="str">
        <f t="shared" si="3"/>
        <v>EU</v>
      </c>
      <c r="G71" s="3">
        <v>5</v>
      </c>
      <c r="H71" s="3">
        <v>5</v>
      </c>
      <c r="I71" s="4">
        <v>1</v>
      </c>
      <c r="J71" s="3">
        <v>2</v>
      </c>
      <c r="K71" s="3">
        <v>2</v>
      </c>
      <c r="L71" s="3">
        <v>2</v>
      </c>
      <c r="M71" s="3">
        <v>5</v>
      </c>
      <c r="N71" s="4">
        <v>0.4</v>
      </c>
      <c r="O71" s="4">
        <v>0.4</v>
      </c>
      <c r="P71" s="4">
        <v>1</v>
      </c>
      <c r="Q71" s="3"/>
      <c r="R71" s="4"/>
      <c r="S71" s="3"/>
      <c r="T71" s="3"/>
      <c r="U71" s="4"/>
      <c r="V71" s="3">
        <v>2</v>
      </c>
    </row>
    <row r="72" spans="1:22" x14ac:dyDescent="0.3">
      <c r="A72" s="2">
        <v>46204</v>
      </c>
      <c r="B72" t="s">
        <v>215</v>
      </c>
      <c r="C72" t="s">
        <v>216</v>
      </c>
      <c r="D72" t="s">
        <v>217</v>
      </c>
      <c r="E72" t="str">
        <f t="shared" si="2"/>
        <v>Casino</v>
      </c>
      <c r="F72" t="str">
        <f t="shared" si="3"/>
        <v>EE</v>
      </c>
      <c r="G72" s="3">
        <v>10</v>
      </c>
      <c r="H72" s="3">
        <v>10</v>
      </c>
      <c r="I72" s="4">
        <v>1</v>
      </c>
      <c r="J72" s="3">
        <v>7</v>
      </c>
      <c r="K72" s="3">
        <v>11</v>
      </c>
      <c r="L72" s="3">
        <v>3</v>
      </c>
      <c r="M72" s="3">
        <v>3</v>
      </c>
      <c r="N72" s="4">
        <v>0.7</v>
      </c>
      <c r="O72" s="4">
        <v>0.3</v>
      </c>
      <c r="P72" s="4">
        <v>0.42857142857142855</v>
      </c>
      <c r="Q72" s="3"/>
      <c r="R72" s="4"/>
      <c r="S72" s="3"/>
      <c r="T72" s="3"/>
      <c r="U72" s="4"/>
      <c r="V72" s="3">
        <v>5</v>
      </c>
    </row>
    <row r="73" spans="1:22" x14ac:dyDescent="0.3">
      <c r="A73" s="2">
        <v>46204</v>
      </c>
      <c r="B73" t="s">
        <v>218</v>
      </c>
      <c r="C73" t="s">
        <v>219</v>
      </c>
      <c r="D73" t="s">
        <v>220</v>
      </c>
      <c r="E73" t="str">
        <f t="shared" si="2"/>
        <v>Casino</v>
      </c>
      <c r="F73" t="str">
        <f t="shared" si="3"/>
        <v>LV</v>
      </c>
      <c r="G73" s="3">
        <v>8</v>
      </c>
      <c r="H73" s="3">
        <v>8</v>
      </c>
      <c r="I73" s="4">
        <v>1</v>
      </c>
      <c r="J73" s="3">
        <v>1</v>
      </c>
      <c r="K73" s="3">
        <v>3</v>
      </c>
      <c r="L73" s="3">
        <v>2</v>
      </c>
      <c r="M73" s="3">
        <v>2</v>
      </c>
      <c r="N73" s="4">
        <v>0.125</v>
      </c>
      <c r="O73" s="4">
        <v>0.25</v>
      </c>
      <c r="P73" s="4">
        <v>2</v>
      </c>
      <c r="Q73" s="3"/>
      <c r="R73" s="4"/>
      <c r="S73" s="3"/>
      <c r="T73" s="3"/>
      <c r="U73" s="4"/>
      <c r="V73" s="3">
        <v>1</v>
      </c>
    </row>
    <row r="74" spans="1:22" x14ac:dyDescent="0.3">
      <c r="A74" s="2">
        <v>46204</v>
      </c>
      <c r="B74" t="s">
        <v>221</v>
      </c>
      <c r="C74" t="s">
        <v>222</v>
      </c>
      <c r="D74" t="s">
        <v>223</v>
      </c>
      <c r="E74" t="str">
        <f t="shared" si="2"/>
        <v>Casino</v>
      </c>
      <c r="F74" t="str">
        <f t="shared" si="3"/>
        <v>EU</v>
      </c>
      <c r="G74" s="3">
        <v>2</v>
      </c>
      <c r="H74" s="3">
        <v>2</v>
      </c>
      <c r="I74" s="4">
        <v>1</v>
      </c>
      <c r="J74" s="3">
        <v>1</v>
      </c>
      <c r="K74" s="3">
        <v>1</v>
      </c>
      <c r="L74" s="3">
        <v>1</v>
      </c>
      <c r="M74" s="3">
        <v>1</v>
      </c>
      <c r="N74" s="4">
        <v>0.5</v>
      </c>
      <c r="O74" s="4">
        <v>0.5</v>
      </c>
      <c r="P74" s="4">
        <v>1</v>
      </c>
      <c r="Q74" s="3"/>
      <c r="R74" s="4"/>
      <c r="S74" s="3"/>
      <c r="T74" s="3"/>
      <c r="U74" s="4"/>
      <c r="V74" s="3"/>
    </row>
    <row r="75" spans="1:22" x14ac:dyDescent="0.3">
      <c r="A75" s="2">
        <v>46204</v>
      </c>
      <c r="B75" t="s">
        <v>224</v>
      </c>
      <c r="C75" t="s">
        <v>225</v>
      </c>
      <c r="D75" t="s">
        <v>226</v>
      </c>
      <c r="E75" t="str">
        <f t="shared" si="2"/>
        <v>Casino</v>
      </c>
      <c r="F75" t="str">
        <f t="shared" si="3"/>
        <v>EE</v>
      </c>
      <c r="G75" s="3">
        <v>151</v>
      </c>
      <c r="H75" s="3">
        <v>151</v>
      </c>
      <c r="I75" s="4">
        <v>1</v>
      </c>
      <c r="J75" s="3">
        <v>52</v>
      </c>
      <c r="K75" s="3">
        <v>113</v>
      </c>
      <c r="L75" s="3">
        <v>36</v>
      </c>
      <c r="M75" s="3">
        <v>63</v>
      </c>
      <c r="N75" s="4">
        <v>0.3443708609271523</v>
      </c>
      <c r="O75" s="4">
        <v>0.23841059602649006</v>
      </c>
      <c r="P75" s="4">
        <v>0.69230769230769229</v>
      </c>
      <c r="Q75" s="3"/>
      <c r="R75" s="4"/>
      <c r="S75" s="3"/>
      <c r="T75" s="3"/>
      <c r="U75" s="4"/>
      <c r="V75" s="3">
        <v>42</v>
      </c>
    </row>
    <row r="76" spans="1:22" x14ac:dyDescent="0.3">
      <c r="A76" s="2">
        <v>46204</v>
      </c>
      <c r="B76" t="s">
        <v>227</v>
      </c>
      <c r="C76" t="s">
        <v>228</v>
      </c>
      <c r="D76" t="s">
        <v>229</v>
      </c>
      <c r="E76" t="str">
        <f t="shared" si="2"/>
        <v>Casino</v>
      </c>
      <c r="F76" t="str">
        <f t="shared" si="3"/>
        <v>LV</v>
      </c>
      <c r="G76" s="3">
        <v>197</v>
      </c>
      <c r="H76" s="3">
        <v>195</v>
      </c>
      <c r="I76" s="4">
        <v>0.98984771573604058</v>
      </c>
      <c r="J76" s="3">
        <v>46</v>
      </c>
      <c r="K76" s="3">
        <v>90</v>
      </c>
      <c r="L76" s="3">
        <v>45</v>
      </c>
      <c r="M76" s="3">
        <v>99</v>
      </c>
      <c r="N76" s="4">
        <v>0.23589743589743589</v>
      </c>
      <c r="O76" s="4">
        <v>0.23076923076923078</v>
      </c>
      <c r="P76" s="4">
        <v>0.97826086956521741</v>
      </c>
      <c r="Q76" s="3"/>
      <c r="R76" s="4"/>
      <c r="S76" s="3"/>
      <c r="T76" s="3">
        <v>2</v>
      </c>
      <c r="U76" s="4">
        <v>1.015228426395939E-2</v>
      </c>
      <c r="V76" s="3">
        <v>25</v>
      </c>
    </row>
    <row r="77" spans="1:22" x14ac:dyDescent="0.3">
      <c r="A77" s="2">
        <v>46204</v>
      </c>
      <c r="B77" t="s">
        <v>230</v>
      </c>
      <c r="C77" t="s">
        <v>231</v>
      </c>
      <c r="D77" t="s">
        <v>232</v>
      </c>
      <c r="E77" t="str">
        <f t="shared" si="2"/>
        <v>Casino</v>
      </c>
      <c r="F77" t="str">
        <f t="shared" si="3"/>
        <v>EU</v>
      </c>
      <c r="G77" s="3">
        <v>5</v>
      </c>
      <c r="H77" s="3">
        <v>5</v>
      </c>
      <c r="I77" s="4">
        <v>1</v>
      </c>
      <c r="J77" s="3">
        <v>1</v>
      </c>
      <c r="K77" s="3">
        <v>2</v>
      </c>
      <c r="L77" s="3">
        <v>2</v>
      </c>
      <c r="M77" s="3">
        <v>2</v>
      </c>
      <c r="N77" s="4">
        <v>0.2</v>
      </c>
      <c r="O77" s="4">
        <v>0.4</v>
      </c>
      <c r="P77" s="4">
        <v>2</v>
      </c>
      <c r="Q77" s="3"/>
      <c r="R77" s="4"/>
      <c r="S77" s="3"/>
      <c r="T77" s="3"/>
      <c r="U77" s="4"/>
      <c r="V77" s="3">
        <v>2</v>
      </c>
    </row>
    <row r="78" spans="1:22" x14ac:dyDescent="0.3">
      <c r="A78" s="2">
        <v>46204</v>
      </c>
      <c r="B78" t="s">
        <v>233</v>
      </c>
      <c r="C78" t="s">
        <v>234</v>
      </c>
      <c r="D78" t="s">
        <v>235</v>
      </c>
      <c r="E78" t="str">
        <f t="shared" si="2"/>
        <v>Sport</v>
      </c>
      <c r="F78" t="str">
        <f t="shared" si="3"/>
        <v>EE</v>
      </c>
      <c r="G78" s="3">
        <v>2</v>
      </c>
      <c r="H78" s="3">
        <v>2</v>
      </c>
      <c r="I78" s="4">
        <v>1</v>
      </c>
      <c r="J78" s="3"/>
      <c r="K78" s="3"/>
      <c r="L78" s="3"/>
      <c r="M78" s="3"/>
      <c r="N78" s="4"/>
      <c r="O78" s="4"/>
      <c r="P78" s="4"/>
      <c r="Q78" s="3"/>
      <c r="R78" s="4"/>
      <c r="S78" s="3"/>
      <c r="T78" s="3"/>
      <c r="U78" s="4"/>
      <c r="V78" s="3"/>
    </row>
    <row r="79" spans="1:22" x14ac:dyDescent="0.3">
      <c r="A79" s="2">
        <v>46204</v>
      </c>
      <c r="B79" t="s">
        <v>236</v>
      </c>
      <c r="C79" t="s">
        <v>237</v>
      </c>
      <c r="D79" t="s">
        <v>238</v>
      </c>
      <c r="E79" t="str">
        <f t="shared" si="2"/>
        <v>Sport</v>
      </c>
      <c r="F79" t="str">
        <f t="shared" si="3"/>
        <v>LV</v>
      </c>
      <c r="G79" s="3">
        <v>3</v>
      </c>
      <c r="H79" s="3">
        <v>3</v>
      </c>
      <c r="I79" s="4">
        <v>1</v>
      </c>
      <c r="J79" s="3"/>
      <c r="K79" s="3"/>
      <c r="L79" s="3"/>
      <c r="M79" s="3"/>
      <c r="N79" s="4"/>
      <c r="O79" s="4"/>
      <c r="P79" s="4"/>
      <c r="Q79" s="3"/>
      <c r="R79" s="4"/>
      <c r="S79" s="3"/>
      <c r="T79" s="3"/>
      <c r="U79" s="4"/>
      <c r="V79" s="3"/>
    </row>
    <row r="80" spans="1:22" x14ac:dyDescent="0.3">
      <c r="A80" s="2">
        <v>46204</v>
      </c>
      <c r="B80" t="s">
        <v>239</v>
      </c>
      <c r="C80" t="s">
        <v>240</v>
      </c>
      <c r="D80" t="s">
        <v>241</v>
      </c>
      <c r="E80" t="str">
        <f t="shared" si="2"/>
        <v>Sport</v>
      </c>
      <c r="F80" t="str">
        <f t="shared" si="3"/>
        <v>EE</v>
      </c>
      <c r="G80" s="3">
        <v>12</v>
      </c>
      <c r="H80" s="3">
        <v>12</v>
      </c>
      <c r="I80" s="4">
        <v>1</v>
      </c>
      <c r="J80" s="3">
        <v>5</v>
      </c>
      <c r="K80" s="3">
        <v>11</v>
      </c>
      <c r="L80" s="3">
        <v>2</v>
      </c>
      <c r="M80" s="3">
        <v>4</v>
      </c>
      <c r="N80" s="4">
        <v>0.41666666666666669</v>
      </c>
      <c r="O80" s="4">
        <v>0.16666666666666666</v>
      </c>
      <c r="P80" s="4">
        <v>0.4</v>
      </c>
      <c r="Q80" s="3"/>
      <c r="R80" s="4"/>
      <c r="S80" s="3"/>
      <c r="T80" s="3"/>
      <c r="U80" s="4"/>
      <c r="V80" s="3">
        <v>2</v>
      </c>
    </row>
    <row r="81" spans="1:22" x14ac:dyDescent="0.3">
      <c r="A81" s="2">
        <v>46204</v>
      </c>
      <c r="B81" t="s">
        <v>242</v>
      </c>
      <c r="C81" t="s">
        <v>243</v>
      </c>
      <c r="D81" t="s">
        <v>244</v>
      </c>
      <c r="E81" t="str">
        <f t="shared" si="2"/>
        <v>Sport</v>
      </c>
      <c r="F81" t="str">
        <f t="shared" si="3"/>
        <v>LV</v>
      </c>
      <c r="G81" s="3">
        <v>8</v>
      </c>
      <c r="H81" s="3">
        <v>8</v>
      </c>
      <c r="I81" s="4">
        <v>1</v>
      </c>
      <c r="J81" s="3">
        <v>4</v>
      </c>
      <c r="K81" s="3">
        <v>4</v>
      </c>
      <c r="L81" s="3">
        <v>1</v>
      </c>
      <c r="M81" s="3">
        <v>2</v>
      </c>
      <c r="N81" s="4">
        <v>0.5</v>
      </c>
      <c r="O81" s="4">
        <v>0.125</v>
      </c>
      <c r="P81" s="4">
        <v>0.25</v>
      </c>
      <c r="Q81" s="3"/>
      <c r="R81" s="4"/>
      <c r="S81" s="3"/>
      <c r="T81" s="3"/>
      <c r="U81" s="4"/>
      <c r="V81" s="3"/>
    </row>
    <row r="82" spans="1:22" x14ac:dyDescent="0.3">
      <c r="A82" s="2">
        <v>46204</v>
      </c>
      <c r="B82" t="s">
        <v>245</v>
      </c>
      <c r="C82" t="s">
        <v>246</v>
      </c>
      <c r="D82" t="s">
        <v>247</v>
      </c>
      <c r="E82" t="str">
        <f t="shared" si="2"/>
        <v>Sport</v>
      </c>
      <c r="F82" t="str">
        <f t="shared" si="3"/>
        <v>EU</v>
      </c>
      <c r="G82" s="3">
        <v>2</v>
      </c>
      <c r="H82" s="3">
        <v>2</v>
      </c>
      <c r="I82" s="4">
        <v>1</v>
      </c>
      <c r="J82" s="3">
        <v>1</v>
      </c>
      <c r="K82" s="3">
        <v>1</v>
      </c>
      <c r="L82" s="3"/>
      <c r="M82" s="3"/>
      <c r="N82" s="4">
        <v>0.5</v>
      </c>
      <c r="O82" s="4"/>
      <c r="P82" s="4"/>
      <c r="Q82" s="3"/>
      <c r="R82" s="4"/>
      <c r="S82" s="3"/>
      <c r="T82" s="3"/>
      <c r="U82" s="4"/>
      <c r="V82" s="3"/>
    </row>
    <row r="83" spans="1:22" x14ac:dyDescent="0.3">
      <c r="A83" s="2">
        <v>46204</v>
      </c>
      <c r="B83" t="s">
        <v>248</v>
      </c>
      <c r="C83" t="s">
        <v>249</v>
      </c>
      <c r="D83" t="s">
        <v>250</v>
      </c>
      <c r="E83" t="str">
        <f t="shared" si="2"/>
        <v>Sport</v>
      </c>
      <c r="F83" t="str">
        <f t="shared" si="3"/>
        <v>LV</v>
      </c>
      <c r="G83" s="3">
        <v>1</v>
      </c>
      <c r="H83" s="3">
        <v>1</v>
      </c>
      <c r="I83" s="4">
        <v>1</v>
      </c>
      <c r="J83" s="3"/>
      <c r="K83" s="3"/>
      <c r="L83" s="3">
        <v>1</v>
      </c>
      <c r="M83" s="3">
        <v>2</v>
      </c>
      <c r="N83" s="4"/>
      <c r="O83" s="4">
        <v>1</v>
      </c>
      <c r="P83" s="4"/>
      <c r="Q83" s="3"/>
      <c r="R83" s="4"/>
      <c r="S83" s="3"/>
      <c r="T83" s="3"/>
      <c r="U83" s="4"/>
      <c r="V83" s="3"/>
    </row>
    <row r="84" spans="1:22" x14ac:dyDescent="0.3">
      <c r="A84" s="2">
        <v>46204</v>
      </c>
      <c r="B84" t="s">
        <v>251</v>
      </c>
      <c r="C84" t="s">
        <v>252</v>
      </c>
      <c r="D84" t="s">
        <v>253</v>
      </c>
      <c r="E84" t="str">
        <f t="shared" si="2"/>
        <v>Sport</v>
      </c>
      <c r="F84" t="str">
        <f t="shared" si="3"/>
        <v>EE</v>
      </c>
      <c r="G84" s="3">
        <v>7</v>
      </c>
      <c r="H84" s="3">
        <v>7</v>
      </c>
      <c r="I84" s="4">
        <v>1</v>
      </c>
      <c r="J84" s="3">
        <v>2</v>
      </c>
      <c r="K84" s="3">
        <v>2</v>
      </c>
      <c r="L84" s="3">
        <v>1</v>
      </c>
      <c r="M84" s="3">
        <v>1</v>
      </c>
      <c r="N84" s="4">
        <v>0.2857142857142857</v>
      </c>
      <c r="O84" s="4">
        <v>0.14285714285714285</v>
      </c>
      <c r="P84" s="4">
        <v>0.5</v>
      </c>
      <c r="Q84" s="3"/>
      <c r="R84" s="4"/>
      <c r="S84" s="3"/>
      <c r="T84" s="3"/>
      <c r="U84" s="4"/>
      <c r="V84" s="3"/>
    </row>
    <row r="85" spans="1:22" x14ac:dyDescent="0.3">
      <c r="A85" s="2">
        <v>46204</v>
      </c>
      <c r="B85" t="s">
        <v>254</v>
      </c>
      <c r="C85" t="s">
        <v>255</v>
      </c>
      <c r="D85" t="s">
        <v>256</v>
      </c>
      <c r="E85" t="str">
        <f t="shared" si="2"/>
        <v>Sport</v>
      </c>
      <c r="F85" t="str">
        <f t="shared" si="3"/>
        <v>LV</v>
      </c>
      <c r="G85" s="3">
        <v>4</v>
      </c>
      <c r="H85" s="3">
        <v>4</v>
      </c>
      <c r="I85" s="4">
        <v>1</v>
      </c>
      <c r="J85" s="3">
        <v>1</v>
      </c>
      <c r="K85" s="3">
        <v>1</v>
      </c>
      <c r="L85" s="3"/>
      <c r="M85" s="3"/>
      <c r="N85" s="4">
        <v>0.25</v>
      </c>
      <c r="O85" s="4"/>
      <c r="P85" s="4"/>
      <c r="Q85" s="3"/>
      <c r="R85" s="4"/>
      <c r="S85" s="3"/>
      <c r="T85" s="3"/>
      <c r="U85" s="4"/>
      <c r="V85" s="3"/>
    </row>
    <row r="86" spans="1:22" x14ac:dyDescent="0.3">
      <c r="A86" s="2">
        <v>46204</v>
      </c>
      <c r="B86" t="s">
        <v>257</v>
      </c>
      <c r="C86" t="s">
        <v>258</v>
      </c>
      <c r="D86" t="s">
        <v>259</v>
      </c>
      <c r="E86" t="str">
        <f t="shared" si="2"/>
        <v>Sport</v>
      </c>
      <c r="F86" t="str">
        <f t="shared" si="3"/>
        <v>EE</v>
      </c>
      <c r="G86" s="3">
        <v>4</v>
      </c>
      <c r="H86" s="3">
        <v>4</v>
      </c>
      <c r="I86" s="4">
        <v>1</v>
      </c>
      <c r="J86" s="3">
        <v>2</v>
      </c>
      <c r="K86" s="3">
        <v>6</v>
      </c>
      <c r="L86" s="3">
        <v>2</v>
      </c>
      <c r="M86" s="3">
        <v>4</v>
      </c>
      <c r="N86" s="4">
        <v>0.5</v>
      </c>
      <c r="O86" s="4">
        <v>0.5</v>
      </c>
      <c r="P86" s="4">
        <v>1</v>
      </c>
      <c r="Q86" s="3"/>
      <c r="R86" s="4"/>
      <c r="S86" s="3"/>
      <c r="T86" s="3"/>
      <c r="U86" s="4"/>
      <c r="V86" s="3"/>
    </row>
    <row r="87" spans="1:22" x14ac:dyDescent="0.3">
      <c r="A87" s="2">
        <v>46204</v>
      </c>
      <c r="B87" t="s">
        <v>260</v>
      </c>
      <c r="C87" t="s">
        <v>261</v>
      </c>
      <c r="D87" t="s">
        <v>262</v>
      </c>
      <c r="E87" t="str">
        <f t="shared" si="2"/>
        <v>Sport</v>
      </c>
      <c r="F87" t="str">
        <f t="shared" si="3"/>
        <v>LV</v>
      </c>
      <c r="G87" s="3">
        <v>3</v>
      </c>
      <c r="H87" s="3">
        <v>3</v>
      </c>
      <c r="I87" s="4">
        <v>1</v>
      </c>
      <c r="J87" s="3">
        <v>1</v>
      </c>
      <c r="K87" s="3">
        <v>1</v>
      </c>
      <c r="L87" s="3"/>
      <c r="M87" s="3"/>
      <c r="N87" s="4">
        <v>0.33333333333333331</v>
      </c>
      <c r="O87" s="4"/>
      <c r="P87" s="4"/>
      <c r="Q87" s="3"/>
      <c r="R87" s="4"/>
      <c r="S87" s="3"/>
      <c r="T87" s="3"/>
      <c r="U87" s="4"/>
      <c r="V87" s="3"/>
    </row>
    <row r="88" spans="1:22" x14ac:dyDescent="0.3">
      <c r="A88" s="2">
        <v>46204</v>
      </c>
      <c r="B88" t="s">
        <v>263</v>
      </c>
      <c r="C88" t="s">
        <v>264</v>
      </c>
      <c r="D88" t="s">
        <v>265</v>
      </c>
      <c r="E88" t="str">
        <f t="shared" si="2"/>
        <v>Sport</v>
      </c>
      <c r="F88" t="str">
        <f t="shared" si="3"/>
        <v>EE</v>
      </c>
      <c r="G88" s="3">
        <v>28</v>
      </c>
      <c r="H88" s="3">
        <v>28</v>
      </c>
      <c r="I88" s="4">
        <v>1</v>
      </c>
      <c r="J88" s="3">
        <v>7</v>
      </c>
      <c r="K88" s="3">
        <v>8</v>
      </c>
      <c r="L88" s="3">
        <v>1</v>
      </c>
      <c r="M88" s="3">
        <v>1</v>
      </c>
      <c r="N88" s="4">
        <v>0.25</v>
      </c>
      <c r="O88" s="4">
        <v>3.5714285714285712E-2</v>
      </c>
      <c r="P88" s="4">
        <v>0.14285714285714285</v>
      </c>
      <c r="Q88" s="3"/>
      <c r="R88" s="4"/>
      <c r="S88" s="3"/>
      <c r="T88" s="3"/>
      <c r="U88" s="4"/>
      <c r="V88" s="3"/>
    </row>
    <row r="89" spans="1:22" x14ac:dyDescent="0.3">
      <c r="A89" s="2">
        <v>46204</v>
      </c>
      <c r="B89" t="s">
        <v>266</v>
      </c>
      <c r="C89" t="s">
        <v>267</v>
      </c>
      <c r="D89" t="s">
        <v>268</v>
      </c>
      <c r="E89" t="str">
        <f t="shared" si="2"/>
        <v>Sport</v>
      </c>
      <c r="F89" t="str">
        <f t="shared" si="3"/>
        <v>LV</v>
      </c>
      <c r="G89" s="3">
        <v>23</v>
      </c>
      <c r="H89" s="3">
        <v>23</v>
      </c>
      <c r="I89" s="4">
        <v>1</v>
      </c>
      <c r="J89" s="3">
        <v>9</v>
      </c>
      <c r="K89" s="3">
        <v>14</v>
      </c>
      <c r="L89" s="3">
        <v>3</v>
      </c>
      <c r="M89" s="3">
        <v>3</v>
      </c>
      <c r="N89" s="4">
        <v>0.39130434782608697</v>
      </c>
      <c r="O89" s="4">
        <v>0.13043478260869565</v>
      </c>
      <c r="P89" s="4">
        <v>0.33333333333333331</v>
      </c>
      <c r="Q89" s="3"/>
      <c r="R89" s="4"/>
      <c r="S89" s="3"/>
      <c r="T89" s="3"/>
      <c r="U89" s="4"/>
      <c r="V89" s="3"/>
    </row>
    <row r="90" spans="1:22" x14ac:dyDescent="0.3">
      <c r="A90" s="2">
        <v>46204</v>
      </c>
      <c r="B90" t="s">
        <v>269</v>
      </c>
      <c r="C90" t="s">
        <v>270</v>
      </c>
      <c r="D90" t="s">
        <v>271</v>
      </c>
      <c r="E90" t="str">
        <f t="shared" si="2"/>
        <v>Poker</v>
      </c>
      <c r="F90" t="str">
        <f t="shared" si="3"/>
        <v>EE</v>
      </c>
      <c r="G90" s="3">
        <v>27</v>
      </c>
      <c r="H90" s="3">
        <v>27</v>
      </c>
      <c r="I90" s="4">
        <v>1</v>
      </c>
      <c r="J90" s="3">
        <v>7</v>
      </c>
      <c r="K90" s="3">
        <v>15</v>
      </c>
      <c r="L90" s="3">
        <v>1</v>
      </c>
      <c r="M90" s="3">
        <v>1</v>
      </c>
      <c r="N90" s="4">
        <v>0.25925925925925924</v>
      </c>
      <c r="O90" s="4">
        <v>3.7037037037037035E-2</v>
      </c>
      <c r="P90" s="4">
        <v>0.14285714285714285</v>
      </c>
      <c r="Q90" s="3"/>
      <c r="R90" s="4"/>
      <c r="S90" s="3"/>
      <c r="T90" s="3"/>
      <c r="U90" s="4"/>
      <c r="V90" s="3">
        <v>15</v>
      </c>
    </row>
    <row r="91" spans="1:22" x14ac:dyDescent="0.3">
      <c r="A91" s="2">
        <v>46204</v>
      </c>
      <c r="B91" t="s">
        <v>269</v>
      </c>
      <c r="C91" t="s">
        <v>270</v>
      </c>
      <c r="D91" t="s">
        <v>272</v>
      </c>
      <c r="E91" t="str">
        <f t="shared" si="2"/>
        <v>Poker</v>
      </c>
      <c r="F91" t="str">
        <f t="shared" si="3"/>
        <v>LV</v>
      </c>
      <c r="G91" s="3">
        <v>32</v>
      </c>
      <c r="H91" s="3">
        <v>32</v>
      </c>
      <c r="I91" s="4">
        <v>1</v>
      </c>
      <c r="J91" s="3">
        <v>8</v>
      </c>
      <c r="K91" s="3">
        <v>16</v>
      </c>
      <c r="L91" s="3"/>
      <c r="M91" s="3"/>
      <c r="N91" s="4">
        <v>0.25</v>
      </c>
      <c r="O91" s="4"/>
      <c r="P91" s="4"/>
      <c r="Q91" s="3"/>
      <c r="R91" s="4"/>
      <c r="S91" s="3"/>
      <c r="T91" s="3"/>
      <c r="U91" s="4"/>
      <c r="V91" s="3">
        <v>12</v>
      </c>
    </row>
    <row r="92" spans="1:22" x14ac:dyDescent="0.3">
      <c r="A92" s="2">
        <v>46204</v>
      </c>
      <c r="B92" t="s">
        <v>273</v>
      </c>
      <c r="C92" t="s">
        <v>270</v>
      </c>
      <c r="D92" t="s">
        <v>274</v>
      </c>
      <c r="E92" t="str">
        <f t="shared" si="2"/>
        <v>Poker</v>
      </c>
      <c r="F92" t="str">
        <f t="shared" si="3"/>
        <v>EU</v>
      </c>
      <c r="G92" s="3">
        <v>56</v>
      </c>
      <c r="H92" s="3">
        <v>56</v>
      </c>
      <c r="I92" s="4">
        <v>1</v>
      </c>
      <c r="J92" s="3">
        <v>16</v>
      </c>
      <c r="K92" s="3">
        <v>21</v>
      </c>
      <c r="L92" s="3">
        <v>4</v>
      </c>
      <c r="M92" s="3">
        <v>6</v>
      </c>
      <c r="N92" s="4">
        <v>0.2857142857142857</v>
      </c>
      <c r="O92" s="4">
        <v>7.1428571428571425E-2</v>
      </c>
      <c r="P92" s="4">
        <v>0.25</v>
      </c>
      <c r="Q92" s="3"/>
      <c r="R92" s="4"/>
      <c r="S92" s="3"/>
      <c r="T92" s="3"/>
      <c r="U92" s="4"/>
      <c r="V92" s="3">
        <v>18</v>
      </c>
    </row>
    <row r="93" spans="1:22" x14ac:dyDescent="0.3">
      <c r="A93" s="2">
        <v>46204</v>
      </c>
      <c r="B93" t="s">
        <v>275</v>
      </c>
      <c r="C93" t="s">
        <v>276</v>
      </c>
      <c r="D93" t="s">
        <v>277</v>
      </c>
      <c r="E93" t="str">
        <f t="shared" si="2"/>
        <v>Casino</v>
      </c>
      <c r="F93" t="str">
        <f t="shared" si="3"/>
        <v>EE</v>
      </c>
      <c r="G93" s="3">
        <v>41</v>
      </c>
      <c r="H93" s="3">
        <v>41</v>
      </c>
      <c r="I93" s="4">
        <v>1</v>
      </c>
      <c r="J93" s="3">
        <v>23</v>
      </c>
      <c r="K93" s="3">
        <v>30</v>
      </c>
      <c r="L93" s="3">
        <v>11</v>
      </c>
      <c r="M93" s="3">
        <v>17</v>
      </c>
      <c r="N93" s="4">
        <v>0.56097560975609762</v>
      </c>
      <c r="O93" s="4">
        <v>0.26829268292682928</v>
      </c>
      <c r="P93" s="4">
        <v>0.47826086956521741</v>
      </c>
      <c r="Q93" s="3"/>
      <c r="R93" s="4"/>
      <c r="S93" s="3"/>
      <c r="T93" s="3"/>
      <c r="U93" s="4"/>
      <c r="V93" s="3">
        <v>12</v>
      </c>
    </row>
    <row r="94" spans="1:22" x14ac:dyDescent="0.3">
      <c r="A94" s="2">
        <v>46204</v>
      </c>
      <c r="B94" t="s">
        <v>275</v>
      </c>
      <c r="C94" t="s">
        <v>276</v>
      </c>
      <c r="D94" t="s">
        <v>278</v>
      </c>
      <c r="E94" t="str">
        <f t="shared" si="2"/>
        <v>Casino</v>
      </c>
      <c r="F94" t="str">
        <f t="shared" si="3"/>
        <v>EU</v>
      </c>
      <c r="G94" s="3">
        <v>10</v>
      </c>
      <c r="H94" s="3">
        <v>10</v>
      </c>
      <c r="I94" s="4">
        <v>1</v>
      </c>
      <c r="J94" s="3">
        <v>6</v>
      </c>
      <c r="K94" s="3">
        <v>10</v>
      </c>
      <c r="L94" s="3">
        <v>1</v>
      </c>
      <c r="M94" s="3">
        <v>1</v>
      </c>
      <c r="N94" s="4">
        <v>0.6</v>
      </c>
      <c r="O94" s="4">
        <v>0.1</v>
      </c>
      <c r="P94" s="4">
        <v>0.16666666666666666</v>
      </c>
      <c r="Q94" s="3"/>
      <c r="R94" s="4"/>
      <c r="S94" s="3"/>
      <c r="T94" s="3"/>
      <c r="U94" s="4"/>
      <c r="V94" s="3">
        <v>2</v>
      </c>
    </row>
    <row r="95" spans="1:22" x14ac:dyDescent="0.3">
      <c r="A95" s="2">
        <v>46204</v>
      </c>
      <c r="B95" t="s">
        <v>279</v>
      </c>
      <c r="C95" t="s">
        <v>280</v>
      </c>
      <c r="D95" t="s">
        <v>281</v>
      </c>
      <c r="E95" t="str">
        <f t="shared" si="2"/>
        <v>Casino</v>
      </c>
      <c r="F95" t="str">
        <f t="shared" si="3"/>
        <v>LV</v>
      </c>
      <c r="G95" s="3">
        <v>26</v>
      </c>
      <c r="H95" s="3">
        <v>26</v>
      </c>
      <c r="I95" s="4">
        <v>1</v>
      </c>
      <c r="J95" s="3">
        <v>9</v>
      </c>
      <c r="K95" s="3">
        <v>11</v>
      </c>
      <c r="L95" s="3"/>
      <c r="M95" s="3"/>
      <c r="N95" s="4">
        <v>0.34615384615384615</v>
      </c>
      <c r="O95" s="4"/>
      <c r="P95" s="4"/>
      <c r="Q95" s="3"/>
      <c r="R95" s="4"/>
      <c r="S95" s="3"/>
      <c r="T95" s="3"/>
      <c r="U95" s="4"/>
      <c r="V95" s="3">
        <v>8</v>
      </c>
    </row>
    <row r="96" spans="1:22" x14ac:dyDescent="0.3">
      <c r="A96" s="2">
        <v>46204</v>
      </c>
      <c r="B96" t="s">
        <v>282</v>
      </c>
      <c r="C96" t="s">
        <v>283</v>
      </c>
      <c r="D96" t="s">
        <v>284</v>
      </c>
      <c r="E96" t="str">
        <f t="shared" si="2"/>
        <v>Sport</v>
      </c>
      <c r="F96" t="s">
        <v>401</v>
      </c>
      <c r="G96" s="3">
        <v>4363</v>
      </c>
      <c r="H96" s="3">
        <v>4362</v>
      </c>
      <c r="I96" s="4">
        <v>0.99977079990831996</v>
      </c>
      <c r="J96" s="3">
        <v>1118</v>
      </c>
      <c r="K96" s="3">
        <v>1506</v>
      </c>
      <c r="L96" s="3">
        <v>41</v>
      </c>
      <c r="M96" s="3">
        <v>76</v>
      </c>
      <c r="N96" s="4">
        <v>0.25630444750114628</v>
      </c>
      <c r="O96" s="4">
        <v>9.3993580926180643E-3</v>
      </c>
      <c r="P96" s="4">
        <v>3.6672629695885507E-2</v>
      </c>
      <c r="Q96" s="3">
        <v>2</v>
      </c>
      <c r="R96" s="4">
        <v>4.5850527281063731E-4</v>
      </c>
      <c r="S96" s="3"/>
      <c r="T96" s="3">
        <v>1</v>
      </c>
      <c r="U96" s="4">
        <v>2.2920009168003668E-4</v>
      </c>
      <c r="V96" s="3"/>
    </row>
    <row r="97" spans="1:22" x14ac:dyDescent="0.3">
      <c r="A97" s="2">
        <v>46204</v>
      </c>
      <c r="B97" t="s">
        <v>285</v>
      </c>
      <c r="C97" t="s">
        <v>286</v>
      </c>
      <c r="D97" t="s">
        <v>287</v>
      </c>
      <c r="E97" t="str">
        <f t="shared" si="2"/>
        <v>Poker</v>
      </c>
      <c r="F97" t="str">
        <f t="shared" si="3"/>
        <v>EE</v>
      </c>
      <c r="G97" s="3">
        <v>99</v>
      </c>
      <c r="H97" s="3">
        <v>98</v>
      </c>
      <c r="I97" s="4">
        <v>0.98989898989898994</v>
      </c>
      <c r="J97" s="3">
        <v>32</v>
      </c>
      <c r="K97" s="3">
        <v>52</v>
      </c>
      <c r="L97" s="3">
        <v>4</v>
      </c>
      <c r="M97" s="3">
        <v>5</v>
      </c>
      <c r="N97" s="4">
        <v>0.32653061224489793</v>
      </c>
      <c r="O97" s="4">
        <v>4.0816326530612242E-2</v>
      </c>
      <c r="P97" s="4">
        <v>0.125</v>
      </c>
      <c r="Q97" s="3"/>
      <c r="R97" s="4"/>
      <c r="S97" s="3"/>
      <c r="T97" s="3">
        <v>1</v>
      </c>
      <c r="U97" s="4">
        <v>1.0101010101010102E-2</v>
      </c>
      <c r="V97" s="3">
        <v>39</v>
      </c>
    </row>
    <row r="98" spans="1:22" x14ac:dyDescent="0.3">
      <c r="A98" s="2">
        <v>46204</v>
      </c>
      <c r="B98" t="s">
        <v>285</v>
      </c>
      <c r="C98" t="s">
        <v>286</v>
      </c>
      <c r="D98" t="s">
        <v>288</v>
      </c>
      <c r="E98" t="str">
        <f t="shared" si="2"/>
        <v>Poker</v>
      </c>
      <c r="F98" t="str">
        <f t="shared" si="3"/>
        <v>EU</v>
      </c>
      <c r="G98" s="3">
        <v>67</v>
      </c>
      <c r="H98" s="3">
        <v>67</v>
      </c>
      <c r="I98" s="4">
        <v>1</v>
      </c>
      <c r="J98" s="3">
        <v>24</v>
      </c>
      <c r="K98" s="3">
        <v>37</v>
      </c>
      <c r="L98" s="3">
        <v>1</v>
      </c>
      <c r="M98" s="3">
        <v>1</v>
      </c>
      <c r="N98" s="4">
        <v>0.35820895522388058</v>
      </c>
      <c r="O98" s="4">
        <v>1.4925373134328358E-2</v>
      </c>
      <c r="P98" s="4">
        <v>4.1666666666666664E-2</v>
      </c>
      <c r="Q98" s="3"/>
      <c r="R98" s="4"/>
      <c r="S98" s="3"/>
      <c r="T98" s="3"/>
      <c r="U98" s="4"/>
      <c r="V98" s="3">
        <v>22</v>
      </c>
    </row>
    <row r="99" spans="1:22" x14ac:dyDescent="0.3">
      <c r="A99" s="2">
        <v>46204</v>
      </c>
      <c r="B99" t="s">
        <v>285</v>
      </c>
      <c r="C99" t="s">
        <v>286</v>
      </c>
      <c r="D99" t="s">
        <v>289</v>
      </c>
      <c r="E99" t="str">
        <f t="shared" si="2"/>
        <v>Poker</v>
      </c>
      <c r="F99" t="str">
        <f t="shared" si="3"/>
        <v>LV</v>
      </c>
      <c r="G99" s="3">
        <v>41</v>
      </c>
      <c r="H99" s="3">
        <v>41</v>
      </c>
      <c r="I99" s="4">
        <v>1</v>
      </c>
      <c r="J99" s="3">
        <v>5</v>
      </c>
      <c r="K99" s="3">
        <v>6</v>
      </c>
      <c r="L99" s="3"/>
      <c r="M99" s="3"/>
      <c r="N99" s="4">
        <v>0.12195121951219512</v>
      </c>
      <c r="O99" s="4"/>
      <c r="P99" s="4"/>
      <c r="Q99" s="3"/>
      <c r="R99" s="4"/>
      <c r="S99" s="3"/>
      <c r="T99" s="3"/>
      <c r="U99" s="4"/>
      <c r="V99" s="3">
        <v>21</v>
      </c>
    </row>
    <row r="100" spans="1:22" x14ac:dyDescent="0.3">
      <c r="A100" s="2">
        <v>46204</v>
      </c>
      <c r="B100" t="s">
        <v>290</v>
      </c>
      <c r="C100" t="s">
        <v>283</v>
      </c>
      <c r="D100" t="s">
        <v>291</v>
      </c>
      <c r="E100" t="str">
        <f t="shared" si="2"/>
        <v>Sport</v>
      </c>
      <c r="F100" t="str">
        <f t="shared" si="3"/>
        <v>EE</v>
      </c>
      <c r="G100" s="3">
        <v>3855</v>
      </c>
      <c r="H100" s="3">
        <v>3854</v>
      </c>
      <c r="I100" s="4">
        <v>0.99974059662775616</v>
      </c>
      <c r="J100" s="3">
        <v>1094</v>
      </c>
      <c r="K100" s="3">
        <v>1523</v>
      </c>
      <c r="L100" s="3">
        <v>17</v>
      </c>
      <c r="M100" s="3">
        <v>47</v>
      </c>
      <c r="N100" s="4">
        <v>0.28386092371562016</v>
      </c>
      <c r="O100" s="4">
        <v>4.4110015568240785E-3</v>
      </c>
      <c r="P100" s="4">
        <v>1.5539305301645339E-2</v>
      </c>
      <c r="Q100" s="3"/>
      <c r="R100" s="4"/>
      <c r="S100" s="3"/>
      <c r="T100" s="3">
        <v>1</v>
      </c>
      <c r="U100" s="4">
        <v>2.5940337224383917E-4</v>
      </c>
      <c r="V100" s="3"/>
    </row>
    <row r="101" spans="1:22" x14ac:dyDescent="0.3">
      <c r="A101" s="2">
        <v>46204</v>
      </c>
      <c r="B101" t="s">
        <v>290</v>
      </c>
      <c r="C101" t="s">
        <v>283</v>
      </c>
      <c r="D101" t="s">
        <v>292</v>
      </c>
      <c r="E101" t="str">
        <f t="shared" si="2"/>
        <v>Sport</v>
      </c>
      <c r="F101" t="str">
        <f t="shared" si="3"/>
        <v>LV</v>
      </c>
      <c r="G101" s="3">
        <v>5259</v>
      </c>
      <c r="H101" s="3">
        <v>5259</v>
      </c>
      <c r="I101" s="4">
        <v>1</v>
      </c>
      <c r="J101" s="3">
        <v>1130</v>
      </c>
      <c r="K101" s="3">
        <v>1548</v>
      </c>
      <c r="L101" s="3">
        <v>24</v>
      </c>
      <c r="M101" s="3">
        <v>48</v>
      </c>
      <c r="N101" s="4">
        <v>0.21486974710020917</v>
      </c>
      <c r="O101" s="4">
        <v>4.5636052481460351E-3</v>
      </c>
      <c r="P101" s="4">
        <v>2.1238938053097345E-2</v>
      </c>
      <c r="Q101" s="3">
        <v>1</v>
      </c>
      <c r="R101" s="4">
        <v>1.9015021867275147E-4</v>
      </c>
      <c r="S101" s="3"/>
      <c r="T101" s="3"/>
      <c r="U101" s="4"/>
      <c r="V101" s="3"/>
    </row>
    <row r="102" spans="1:22" x14ac:dyDescent="0.3">
      <c r="A102" s="2">
        <v>46203</v>
      </c>
      <c r="B102" t="s">
        <v>293</v>
      </c>
      <c r="C102" t="s">
        <v>73</v>
      </c>
      <c r="D102" t="s">
        <v>74</v>
      </c>
      <c r="E102" t="str">
        <f t="shared" si="2"/>
        <v>Sport</v>
      </c>
      <c r="F102" t="str">
        <f t="shared" si="3"/>
        <v>LV</v>
      </c>
      <c r="G102" s="3">
        <v>356</v>
      </c>
      <c r="H102" s="3">
        <v>356</v>
      </c>
      <c r="I102" s="4">
        <v>1</v>
      </c>
      <c r="J102" s="3">
        <v>58</v>
      </c>
      <c r="K102" s="3">
        <v>71</v>
      </c>
      <c r="L102" s="3">
        <v>6</v>
      </c>
      <c r="M102" s="3">
        <v>6</v>
      </c>
      <c r="N102" s="4">
        <v>0.16292134831460675</v>
      </c>
      <c r="O102" s="4">
        <v>1.6853932584269662E-2</v>
      </c>
      <c r="P102" s="4">
        <v>0.10344827586206896</v>
      </c>
      <c r="Q102" s="3"/>
      <c r="R102" s="4"/>
      <c r="S102" s="3"/>
      <c r="T102" s="3"/>
      <c r="U102" s="4"/>
      <c r="V102" s="3"/>
    </row>
    <row r="103" spans="1:22" x14ac:dyDescent="0.3">
      <c r="A103" s="2">
        <v>46203</v>
      </c>
      <c r="B103" t="s">
        <v>294</v>
      </c>
      <c r="C103" t="s">
        <v>76</v>
      </c>
      <c r="D103" t="s">
        <v>77</v>
      </c>
      <c r="E103" t="str">
        <f t="shared" si="2"/>
        <v>Sport</v>
      </c>
      <c r="F103" t="str">
        <f t="shared" si="3"/>
        <v>EU</v>
      </c>
      <c r="G103" s="3">
        <v>29</v>
      </c>
      <c r="H103" s="3">
        <v>29</v>
      </c>
      <c r="I103" s="4">
        <v>1</v>
      </c>
      <c r="J103" s="3">
        <v>11</v>
      </c>
      <c r="K103" s="3">
        <v>21</v>
      </c>
      <c r="L103" s="3"/>
      <c r="M103" s="3"/>
      <c r="N103" s="4">
        <v>0.37931034482758619</v>
      </c>
      <c r="O103" s="4"/>
      <c r="P103" s="4"/>
      <c r="Q103" s="3"/>
      <c r="R103" s="4"/>
      <c r="S103" s="3"/>
      <c r="T103" s="3"/>
      <c r="U103" s="4"/>
      <c r="V103" s="3"/>
    </row>
    <row r="104" spans="1:22" x14ac:dyDescent="0.3">
      <c r="A104" s="2">
        <v>46203</v>
      </c>
      <c r="B104" t="s">
        <v>295</v>
      </c>
      <c r="C104" t="s">
        <v>79</v>
      </c>
      <c r="D104" t="s">
        <v>80</v>
      </c>
      <c r="E104" t="str">
        <f t="shared" si="2"/>
        <v>Sport</v>
      </c>
      <c r="F104" t="str">
        <f t="shared" si="3"/>
        <v>EE</v>
      </c>
      <c r="G104" s="3">
        <v>469</v>
      </c>
      <c r="H104" s="3">
        <v>469</v>
      </c>
      <c r="I104" s="4">
        <v>1</v>
      </c>
      <c r="J104" s="3">
        <v>108</v>
      </c>
      <c r="K104" s="3">
        <v>133</v>
      </c>
      <c r="L104" s="3">
        <v>9</v>
      </c>
      <c r="M104" s="3">
        <v>13</v>
      </c>
      <c r="N104" s="4">
        <v>0.2302771855010661</v>
      </c>
      <c r="O104" s="4">
        <v>1.9189765458422176E-2</v>
      </c>
      <c r="P104" s="4">
        <v>8.3333333333333329E-2</v>
      </c>
      <c r="Q104" s="3"/>
      <c r="R104" s="4"/>
      <c r="S104" s="3"/>
      <c r="T104" s="3"/>
      <c r="U104" s="4"/>
      <c r="V104" s="3"/>
    </row>
    <row r="105" spans="1:22" x14ac:dyDescent="0.3">
      <c r="A105" s="2">
        <v>46203</v>
      </c>
      <c r="B105" t="s">
        <v>296</v>
      </c>
      <c r="C105" t="s">
        <v>297</v>
      </c>
      <c r="D105" t="s">
        <v>298</v>
      </c>
      <c r="E105" t="str">
        <f t="shared" si="2"/>
        <v>Sport</v>
      </c>
      <c r="F105" t="str">
        <f t="shared" si="3"/>
        <v>EE</v>
      </c>
      <c r="G105" s="3">
        <v>14</v>
      </c>
      <c r="H105" s="3">
        <v>14</v>
      </c>
      <c r="I105" s="4">
        <v>1</v>
      </c>
      <c r="J105" s="3">
        <v>7</v>
      </c>
      <c r="K105" s="3">
        <v>14</v>
      </c>
      <c r="L105" s="3">
        <v>2</v>
      </c>
      <c r="M105" s="3">
        <v>3</v>
      </c>
      <c r="N105" s="4">
        <v>0.5</v>
      </c>
      <c r="O105" s="4">
        <v>0.14285714285714285</v>
      </c>
      <c r="P105" s="4">
        <v>0.2857142857142857</v>
      </c>
      <c r="Q105" s="3"/>
      <c r="R105" s="4"/>
      <c r="S105" s="3"/>
      <c r="T105" s="3"/>
      <c r="U105" s="4"/>
      <c r="V105" s="3"/>
    </row>
    <row r="106" spans="1:22" x14ac:dyDescent="0.3">
      <c r="A106" s="2">
        <v>46203</v>
      </c>
      <c r="B106" t="s">
        <v>299</v>
      </c>
      <c r="C106" t="s">
        <v>297</v>
      </c>
      <c r="D106" t="s">
        <v>300</v>
      </c>
      <c r="E106" t="str">
        <f t="shared" si="2"/>
        <v>Sport</v>
      </c>
      <c r="F106" t="str">
        <f t="shared" si="3"/>
        <v>EU</v>
      </c>
      <c r="G106" s="3">
        <v>2</v>
      </c>
      <c r="H106" s="3">
        <v>2</v>
      </c>
      <c r="I106" s="4">
        <v>1</v>
      </c>
      <c r="J106" s="3">
        <v>1</v>
      </c>
      <c r="K106" s="3">
        <v>1</v>
      </c>
      <c r="L106" s="3"/>
      <c r="M106" s="3"/>
      <c r="N106" s="4">
        <v>0.5</v>
      </c>
      <c r="O106" s="4"/>
      <c r="P106" s="4"/>
      <c r="Q106" s="3"/>
      <c r="R106" s="4"/>
      <c r="S106" s="3"/>
      <c r="T106" s="3"/>
      <c r="U106" s="4"/>
      <c r="V106" s="3"/>
    </row>
    <row r="107" spans="1:22" x14ac:dyDescent="0.3">
      <c r="A107" s="2">
        <v>46203</v>
      </c>
      <c r="B107" t="s">
        <v>301</v>
      </c>
      <c r="C107" t="s">
        <v>297</v>
      </c>
      <c r="D107" t="s">
        <v>302</v>
      </c>
      <c r="E107" t="str">
        <f t="shared" si="2"/>
        <v>Sport</v>
      </c>
      <c r="F107" t="str">
        <f t="shared" si="3"/>
        <v>LV</v>
      </c>
      <c r="G107" s="3">
        <v>14</v>
      </c>
      <c r="H107" s="3">
        <v>14</v>
      </c>
      <c r="I107" s="4">
        <v>1</v>
      </c>
      <c r="J107" s="3">
        <v>5</v>
      </c>
      <c r="K107" s="3">
        <v>5</v>
      </c>
      <c r="L107" s="3">
        <v>1</v>
      </c>
      <c r="M107" s="3">
        <v>1</v>
      </c>
      <c r="N107" s="4">
        <v>0.35714285714285715</v>
      </c>
      <c r="O107" s="4">
        <v>7.1428571428571425E-2</v>
      </c>
      <c r="P107" s="4">
        <v>0.2</v>
      </c>
      <c r="Q107" s="3"/>
      <c r="R107" s="4"/>
      <c r="S107" s="3"/>
      <c r="T107" s="3"/>
      <c r="U107" s="4"/>
      <c r="V107" s="3"/>
    </row>
    <row r="108" spans="1:22" x14ac:dyDescent="0.3">
      <c r="A108" s="2">
        <v>46203</v>
      </c>
      <c r="B108" t="s">
        <v>303</v>
      </c>
      <c r="C108" t="s">
        <v>304</v>
      </c>
      <c r="D108" t="s">
        <v>305</v>
      </c>
      <c r="E108" t="str">
        <f t="shared" si="2"/>
        <v>Sport</v>
      </c>
      <c r="F108" t="str">
        <f t="shared" si="3"/>
        <v>EE</v>
      </c>
      <c r="G108" s="3">
        <v>100</v>
      </c>
      <c r="H108" s="3">
        <v>100</v>
      </c>
      <c r="I108" s="4">
        <v>1</v>
      </c>
      <c r="J108" s="3">
        <v>28</v>
      </c>
      <c r="K108" s="3">
        <v>37</v>
      </c>
      <c r="L108" s="3">
        <v>2</v>
      </c>
      <c r="M108" s="3">
        <v>6</v>
      </c>
      <c r="N108" s="4">
        <v>0.28000000000000003</v>
      </c>
      <c r="O108" s="4">
        <v>0.02</v>
      </c>
      <c r="P108" s="4">
        <v>7.1428571428571425E-2</v>
      </c>
      <c r="Q108" s="3"/>
      <c r="R108" s="4"/>
      <c r="S108" s="3"/>
      <c r="T108" s="3"/>
      <c r="U108" s="4"/>
      <c r="V108" s="3"/>
    </row>
    <row r="109" spans="1:22" x14ac:dyDescent="0.3">
      <c r="A109" s="2">
        <v>46203</v>
      </c>
      <c r="B109" t="s">
        <v>306</v>
      </c>
      <c r="C109" t="s">
        <v>304</v>
      </c>
      <c r="D109" t="s">
        <v>307</v>
      </c>
      <c r="E109" t="str">
        <f t="shared" si="2"/>
        <v>Sport</v>
      </c>
      <c r="F109" t="str">
        <f t="shared" si="3"/>
        <v>LV</v>
      </c>
      <c r="G109" s="3">
        <v>56</v>
      </c>
      <c r="H109" s="3">
        <v>56</v>
      </c>
      <c r="I109" s="4">
        <v>1</v>
      </c>
      <c r="J109" s="3">
        <v>14</v>
      </c>
      <c r="K109" s="3">
        <v>17</v>
      </c>
      <c r="L109" s="3">
        <v>4</v>
      </c>
      <c r="M109" s="3">
        <v>5</v>
      </c>
      <c r="N109" s="4">
        <v>0.25</v>
      </c>
      <c r="O109" s="4">
        <v>7.1428571428571425E-2</v>
      </c>
      <c r="P109" s="4">
        <v>0.2857142857142857</v>
      </c>
      <c r="Q109" s="3"/>
      <c r="R109" s="4"/>
      <c r="S109" s="3"/>
      <c r="T109" s="3"/>
      <c r="U109" s="4"/>
      <c r="V109" s="3"/>
    </row>
    <row r="110" spans="1:22" x14ac:dyDescent="0.3">
      <c r="A110" s="2">
        <v>46203</v>
      </c>
      <c r="B110" t="s">
        <v>308</v>
      </c>
      <c r="C110" t="s">
        <v>309</v>
      </c>
      <c r="D110" t="s">
        <v>310</v>
      </c>
      <c r="E110" t="str">
        <f t="shared" si="2"/>
        <v>Sport</v>
      </c>
      <c r="F110" t="str">
        <f t="shared" si="3"/>
        <v>EE</v>
      </c>
      <c r="G110" s="3">
        <v>9</v>
      </c>
      <c r="H110" s="3">
        <v>9</v>
      </c>
      <c r="I110" s="4">
        <v>1</v>
      </c>
      <c r="J110" s="3">
        <v>3</v>
      </c>
      <c r="K110" s="3">
        <v>3</v>
      </c>
      <c r="L110" s="3">
        <v>1</v>
      </c>
      <c r="M110" s="3">
        <v>9</v>
      </c>
      <c r="N110" s="4">
        <v>0.33333333333333331</v>
      </c>
      <c r="O110" s="4">
        <v>0.1111111111111111</v>
      </c>
      <c r="P110" s="4">
        <v>0.33333333333333331</v>
      </c>
      <c r="Q110" s="3"/>
      <c r="R110" s="4"/>
      <c r="S110" s="3"/>
      <c r="T110" s="3"/>
      <c r="U110" s="4"/>
      <c r="V110" s="3"/>
    </row>
    <row r="111" spans="1:22" x14ac:dyDescent="0.3">
      <c r="A111" s="2">
        <v>46203</v>
      </c>
      <c r="B111" t="s">
        <v>311</v>
      </c>
      <c r="C111" t="s">
        <v>309</v>
      </c>
      <c r="D111" t="s">
        <v>312</v>
      </c>
      <c r="E111" t="str">
        <f t="shared" si="2"/>
        <v>Sport</v>
      </c>
      <c r="F111" t="str">
        <f t="shared" si="3"/>
        <v>EU</v>
      </c>
      <c r="G111" s="3">
        <v>1</v>
      </c>
      <c r="H111" s="3">
        <v>1</v>
      </c>
      <c r="I111" s="4">
        <v>1</v>
      </c>
      <c r="J111" s="3"/>
      <c r="K111" s="3"/>
      <c r="L111" s="3">
        <v>1</v>
      </c>
      <c r="M111" s="3">
        <v>1</v>
      </c>
      <c r="N111" s="4"/>
      <c r="O111" s="4">
        <v>1</v>
      </c>
      <c r="P111" s="4"/>
      <c r="Q111" s="3"/>
      <c r="R111" s="4"/>
      <c r="S111" s="3"/>
      <c r="T111" s="3"/>
      <c r="U111" s="4"/>
      <c r="V111" s="3"/>
    </row>
    <row r="112" spans="1:22" x14ac:dyDescent="0.3">
      <c r="A112" s="2">
        <v>46203</v>
      </c>
      <c r="B112" t="s">
        <v>313</v>
      </c>
      <c r="C112" t="s">
        <v>309</v>
      </c>
      <c r="D112" t="s">
        <v>314</v>
      </c>
      <c r="E112" t="str">
        <f t="shared" si="2"/>
        <v>Sport</v>
      </c>
      <c r="F112" t="str">
        <f t="shared" si="3"/>
        <v>LV</v>
      </c>
      <c r="G112" s="3">
        <v>19</v>
      </c>
      <c r="H112" s="3">
        <v>19</v>
      </c>
      <c r="I112" s="4">
        <v>1</v>
      </c>
      <c r="J112" s="3">
        <v>6</v>
      </c>
      <c r="K112" s="3">
        <v>7</v>
      </c>
      <c r="L112" s="3"/>
      <c r="M112" s="3"/>
      <c r="N112" s="4">
        <v>0.31578947368421051</v>
      </c>
      <c r="O112" s="4"/>
      <c r="P112" s="4"/>
      <c r="Q112" s="3"/>
      <c r="R112" s="4"/>
      <c r="S112" s="3"/>
      <c r="T112" s="3"/>
      <c r="U112" s="4"/>
      <c r="V112" s="3"/>
    </row>
    <row r="113" spans="1:22" x14ac:dyDescent="0.3">
      <c r="A113" s="2">
        <v>46203</v>
      </c>
      <c r="B113" t="s">
        <v>315</v>
      </c>
      <c r="C113" t="s">
        <v>316</v>
      </c>
      <c r="D113" t="s">
        <v>317</v>
      </c>
      <c r="E113" t="str">
        <f t="shared" si="2"/>
        <v>Sport</v>
      </c>
      <c r="F113" t="str">
        <f t="shared" si="3"/>
        <v>EU</v>
      </c>
      <c r="G113" s="3">
        <v>96</v>
      </c>
      <c r="H113" s="3">
        <v>96</v>
      </c>
      <c r="I113" s="4">
        <v>1</v>
      </c>
      <c r="J113" s="3">
        <v>29</v>
      </c>
      <c r="K113" s="3">
        <v>48</v>
      </c>
      <c r="L113" s="3">
        <v>7</v>
      </c>
      <c r="M113" s="3">
        <v>8</v>
      </c>
      <c r="N113" s="4">
        <v>0.30208333333333331</v>
      </c>
      <c r="O113" s="4">
        <v>7.2916666666666671E-2</v>
      </c>
      <c r="P113" s="4">
        <v>0.2413793103448276</v>
      </c>
      <c r="Q113" s="3"/>
      <c r="R113" s="4"/>
      <c r="S113" s="3"/>
      <c r="T113" s="3"/>
      <c r="U113" s="4"/>
      <c r="V113" s="3"/>
    </row>
    <row r="114" spans="1:22" x14ac:dyDescent="0.3">
      <c r="A114" s="2">
        <v>46203</v>
      </c>
      <c r="B114" t="s">
        <v>318</v>
      </c>
      <c r="C114" t="s">
        <v>319</v>
      </c>
      <c r="D114" t="s">
        <v>320</v>
      </c>
      <c r="E114" t="str">
        <f t="shared" si="2"/>
        <v>Sport</v>
      </c>
      <c r="F114" t="str">
        <f t="shared" si="3"/>
        <v>EE</v>
      </c>
      <c r="G114" s="3">
        <v>611</v>
      </c>
      <c r="H114" s="3">
        <v>611</v>
      </c>
      <c r="I114" s="4">
        <v>1</v>
      </c>
      <c r="J114" s="3">
        <v>124</v>
      </c>
      <c r="K114" s="3">
        <v>141</v>
      </c>
      <c r="L114" s="3"/>
      <c r="M114" s="3"/>
      <c r="N114" s="4">
        <v>0.20294599018003273</v>
      </c>
      <c r="O114" s="4"/>
      <c r="P114" s="4"/>
      <c r="Q114" s="3"/>
      <c r="R114" s="4"/>
      <c r="S114" s="3"/>
      <c r="T114" s="3"/>
      <c r="U114" s="4"/>
      <c r="V114" s="3">
        <v>1</v>
      </c>
    </row>
    <row r="115" spans="1:22" x14ac:dyDescent="0.3">
      <c r="A115" s="2">
        <v>46203</v>
      </c>
      <c r="B115" t="s">
        <v>321</v>
      </c>
      <c r="C115" t="s">
        <v>322</v>
      </c>
      <c r="D115" t="s">
        <v>323</v>
      </c>
      <c r="E115" t="str">
        <f t="shared" si="2"/>
        <v>Sport</v>
      </c>
      <c r="F115" t="str">
        <f t="shared" si="3"/>
        <v>LV</v>
      </c>
      <c r="G115" s="3">
        <v>552</v>
      </c>
      <c r="H115" s="3">
        <v>552</v>
      </c>
      <c r="I115" s="4">
        <v>1</v>
      </c>
      <c r="J115" s="3">
        <v>85</v>
      </c>
      <c r="K115" s="3">
        <v>102</v>
      </c>
      <c r="L115" s="3"/>
      <c r="M115" s="3"/>
      <c r="N115" s="4">
        <v>0.1539855072463768</v>
      </c>
      <c r="O115" s="4"/>
      <c r="P115" s="4"/>
      <c r="Q115" s="3"/>
      <c r="R115" s="4"/>
      <c r="S115" s="3"/>
      <c r="T115" s="3"/>
      <c r="U115" s="4"/>
      <c r="V115" s="3"/>
    </row>
    <row r="116" spans="1:22" x14ac:dyDescent="0.3">
      <c r="A116" s="2">
        <v>46203</v>
      </c>
      <c r="B116" t="s">
        <v>324</v>
      </c>
      <c r="C116" t="s">
        <v>325</v>
      </c>
      <c r="D116" t="s">
        <v>326</v>
      </c>
      <c r="E116" t="str">
        <f t="shared" si="2"/>
        <v>Casino</v>
      </c>
      <c r="F116" t="str">
        <f t="shared" si="3"/>
        <v>EE</v>
      </c>
      <c r="G116" s="3">
        <v>12133</v>
      </c>
      <c r="H116" s="3">
        <v>12032</v>
      </c>
      <c r="I116" s="4">
        <v>0.99167559548339235</v>
      </c>
      <c r="J116" s="3">
        <v>3115</v>
      </c>
      <c r="K116" s="3">
        <v>4349</v>
      </c>
      <c r="L116" s="3">
        <v>294</v>
      </c>
      <c r="M116" s="3">
        <v>540</v>
      </c>
      <c r="N116" s="4">
        <v>0.25889295212765956</v>
      </c>
      <c r="O116" s="4">
        <v>2.4434840425531915E-2</v>
      </c>
      <c r="P116" s="4">
        <v>9.4382022471910118E-2</v>
      </c>
      <c r="Q116" s="3">
        <v>5</v>
      </c>
      <c r="R116" s="4">
        <v>4.1555851063829788E-4</v>
      </c>
      <c r="S116" s="3"/>
      <c r="T116" s="3">
        <v>108</v>
      </c>
      <c r="U116" s="4">
        <v>8.9013434435011949E-3</v>
      </c>
      <c r="V116" s="3">
        <v>2610</v>
      </c>
    </row>
    <row r="117" spans="1:22" x14ac:dyDescent="0.3">
      <c r="A117" s="2">
        <v>46203</v>
      </c>
      <c r="B117" t="s">
        <v>327</v>
      </c>
      <c r="C117" t="s">
        <v>325</v>
      </c>
      <c r="D117" t="s">
        <v>328</v>
      </c>
      <c r="E117" t="str">
        <f t="shared" si="2"/>
        <v>Casino</v>
      </c>
      <c r="F117" t="str">
        <f t="shared" si="3"/>
        <v>EU</v>
      </c>
      <c r="G117" s="3">
        <v>1268</v>
      </c>
      <c r="H117" s="3">
        <v>1265</v>
      </c>
      <c r="I117" s="4">
        <v>0.99763406940063093</v>
      </c>
      <c r="J117" s="3">
        <v>498</v>
      </c>
      <c r="K117" s="3">
        <v>721</v>
      </c>
      <c r="L117" s="3">
        <v>29</v>
      </c>
      <c r="M117" s="3">
        <v>52</v>
      </c>
      <c r="N117" s="4">
        <v>0.39367588932806324</v>
      </c>
      <c r="O117" s="4">
        <v>2.292490118577075E-2</v>
      </c>
      <c r="P117" s="4">
        <v>5.8232931726907633E-2</v>
      </c>
      <c r="Q117" s="3">
        <v>1</v>
      </c>
      <c r="R117" s="4">
        <v>7.9051383399209485E-4</v>
      </c>
      <c r="S117" s="3"/>
      <c r="T117" s="3">
        <v>3</v>
      </c>
      <c r="U117" s="4">
        <v>2.3659305993690852E-3</v>
      </c>
      <c r="V117" s="3">
        <v>136</v>
      </c>
    </row>
    <row r="118" spans="1:22" x14ac:dyDescent="0.3">
      <c r="A118" s="2">
        <v>46203</v>
      </c>
      <c r="B118" t="s">
        <v>329</v>
      </c>
      <c r="C118" t="s">
        <v>330</v>
      </c>
      <c r="D118" t="s">
        <v>331</v>
      </c>
      <c r="E118" t="str">
        <f t="shared" si="2"/>
        <v>Sport</v>
      </c>
      <c r="F118" t="str">
        <f t="shared" si="3"/>
        <v>EE</v>
      </c>
      <c r="G118" s="3">
        <v>607</v>
      </c>
      <c r="H118" s="3">
        <v>607</v>
      </c>
      <c r="I118" s="4">
        <v>1</v>
      </c>
      <c r="J118" s="3">
        <v>146</v>
      </c>
      <c r="K118" s="3">
        <v>182</v>
      </c>
      <c r="L118" s="3">
        <v>14</v>
      </c>
      <c r="M118" s="3">
        <v>16</v>
      </c>
      <c r="N118" s="4">
        <v>0.24052718286655683</v>
      </c>
      <c r="O118" s="4">
        <v>2.3064250411861616E-2</v>
      </c>
      <c r="P118" s="4">
        <v>9.5890410958904104E-2</v>
      </c>
      <c r="Q118" s="3"/>
      <c r="R118" s="4"/>
      <c r="S118" s="3"/>
      <c r="T118" s="3"/>
      <c r="U118" s="4"/>
      <c r="V118" s="3"/>
    </row>
    <row r="119" spans="1:22" x14ac:dyDescent="0.3">
      <c r="A119" s="2">
        <v>46203</v>
      </c>
      <c r="B119" t="s">
        <v>332</v>
      </c>
      <c r="C119" t="s">
        <v>333</v>
      </c>
      <c r="D119" t="s">
        <v>334</v>
      </c>
      <c r="E119" t="str">
        <f t="shared" si="2"/>
        <v>Sport</v>
      </c>
      <c r="F119" t="str">
        <f t="shared" si="3"/>
        <v>LV</v>
      </c>
      <c r="G119" s="3">
        <v>474</v>
      </c>
      <c r="H119" s="3">
        <v>474</v>
      </c>
      <c r="I119" s="4">
        <v>1</v>
      </c>
      <c r="J119" s="3">
        <v>86</v>
      </c>
      <c r="K119" s="3">
        <v>98</v>
      </c>
      <c r="L119" s="3">
        <v>3</v>
      </c>
      <c r="M119" s="3">
        <v>7</v>
      </c>
      <c r="N119" s="4">
        <v>0.18143459915611815</v>
      </c>
      <c r="O119" s="4">
        <v>6.3291139240506328E-3</v>
      </c>
      <c r="P119" s="4">
        <v>3.4883720930232558E-2</v>
      </c>
      <c r="Q119" s="3"/>
      <c r="R119" s="4"/>
      <c r="S119" s="3"/>
      <c r="T119" s="3"/>
      <c r="U119" s="4"/>
      <c r="V119" s="3"/>
    </row>
    <row r="120" spans="1:22" x14ac:dyDescent="0.3">
      <c r="A120" s="2">
        <v>46203</v>
      </c>
      <c r="B120" t="s">
        <v>335</v>
      </c>
      <c r="C120" t="s">
        <v>336</v>
      </c>
      <c r="D120" t="s">
        <v>337</v>
      </c>
      <c r="E120" t="str">
        <f t="shared" si="2"/>
        <v>Poker</v>
      </c>
      <c r="F120" t="str">
        <f t="shared" si="3"/>
        <v>EE</v>
      </c>
      <c r="G120" s="3">
        <v>566</v>
      </c>
      <c r="H120" s="3">
        <v>563</v>
      </c>
      <c r="I120" s="4">
        <v>0.9946996466431095</v>
      </c>
      <c r="J120" s="3">
        <v>132</v>
      </c>
      <c r="K120" s="3">
        <v>174</v>
      </c>
      <c r="L120" s="3">
        <v>14</v>
      </c>
      <c r="M120" s="3">
        <v>32</v>
      </c>
      <c r="N120" s="4">
        <v>0.23445825932504441</v>
      </c>
      <c r="O120" s="4">
        <v>2.4866785079928951E-2</v>
      </c>
      <c r="P120" s="4">
        <v>0.10606060606060606</v>
      </c>
      <c r="Q120" s="3"/>
      <c r="R120" s="4"/>
      <c r="S120" s="3"/>
      <c r="T120" s="3">
        <v>3</v>
      </c>
      <c r="U120" s="4">
        <v>5.3003533568904597E-3</v>
      </c>
      <c r="V120" s="3">
        <v>214</v>
      </c>
    </row>
    <row r="121" spans="1:22" x14ac:dyDescent="0.3">
      <c r="A121" s="2">
        <v>46203</v>
      </c>
      <c r="B121" t="s">
        <v>335</v>
      </c>
      <c r="C121" t="s">
        <v>336</v>
      </c>
      <c r="D121" t="s">
        <v>338</v>
      </c>
      <c r="E121" t="str">
        <f t="shared" si="2"/>
        <v>Poker</v>
      </c>
      <c r="F121" t="str">
        <f t="shared" si="3"/>
        <v>EU</v>
      </c>
      <c r="G121" s="3">
        <v>81</v>
      </c>
      <c r="H121" s="3">
        <v>81</v>
      </c>
      <c r="I121" s="4">
        <v>1</v>
      </c>
      <c r="J121" s="3">
        <v>19</v>
      </c>
      <c r="K121" s="3">
        <v>21</v>
      </c>
      <c r="L121" s="3"/>
      <c r="M121" s="3"/>
      <c r="N121" s="4">
        <v>0.23456790123456789</v>
      </c>
      <c r="O121" s="4"/>
      <c r="P121" s="4"/>
      <c r="Q121" s="3"/>
      <c r="R121" s="4"/>
      <c r="S121" s="3"/>
      <c r="T121" s="3"/>
      <c r="U121" s="4"/>
      <c r="V121" s="3">
        <v>17</v>
      </c>
    </row>
    <row r="122" spans="1:22" x14ac:dyDescent="0.3">
      <c r="A122" s="2">
        <v>46203</v>
      </c>
      <c r="B122" t="s">
        <v>335</v>
      </c>
      <c r="C122" t="s">
        <v>336</v>
      </c>
      <c r="D122" t="s">
        <v>339</v>
      </c>
      <c r="E122" t="str">
        <f t="shared" si="2"/>
        <v>Poker</v>
      </c>
      <c r="F122" t="str">
        <f t="shared" si="3"/>
        <v>LV</v>
      </c>
      <c r="G122" s="3">
        <v>288</v>
      </c>
      <c r="H122" s="3">
        <v>287</v>
      </c>
      <c r="I122" s="4">
        <v>0.99652777777777779</v>
      </c>
      <c r="J122" s="3">
        <v>40</v>
      </c>
      <c r="K122" s="3">
        <v>53</v>
      </c>
      <c r="L122" s="3">
        <v>4</v>
      </c>
      <c r="M122" s="3">
        <v>5</v>
      </c>
      <c r="N122" s="4">
        <v>0.13937282229965156</v>
      </c>
      <c r="O122" s="4">
        <v>1.3937282229965157E-2</v>
      </c>
      <c r="P122" s="4">
        <v>0.1</v>
      </c>
      <c r="Q122" s="3"/>
      <c r="R122" s="4"/>
      <c r="S122" s="3"/>
      <c r="T122" s="3">
        <v>1</v>
      </c>
      <c r="U122" s="4">
        <v>3.472222222222222E-3</v>
      </c>
      <c r="V122" s="3">
        <v>152</v>
      </c>
    </row>
    <row r="123" spans="1:22" x14ac:dyDescent="0.3">
      <c r="A123" s="2">
        <v>46203</v>
      </c>
      <c r="B123" t="s">
        <v>340</v>
      </c>
      <c r="C123" t="s">
        <v>325</v>
      </c>
      <c r="D123" t="s">
        <v>341</v>
      </c>
      <c r="E123" t="str">
        <f t="shared" si="2"/>
        <v>Casino</v>
      </c>
      <c r="F123" t="str">
        <f t="shared" si="3"/>
        <v>LV</v>
      </c>
      <c r="G123" s="3">
        <v>16065</v>
      </c>
      <c r="H123" s="3">
        <v>15948</v>
      </c>
      <c r="I123" s="4">
        <v>0.99271708683473392</v>
      </c>
      <c r="J123" s="3">
        <v>3024</v>
      </c>
      <c r="K123" s="3">
        <v>3949</v>
      </c>
      <c r="L123" s="3">
        <v>244</v>
      </c>
      <c r="M123" s="3">
        <v>381</v>
      </c>
      <c r="N123" s="4">
        <v>0.18961625282167044</v>
      </c>
      <c r="O123" s="4">
        <v>1.5299724103335842E-2</v>
      </c>
      <c r="P123" s="4">
        <v>8.0687830687830683E-2</v>
      </c>
      <c r="Q123" s="3">
        <v>2</v>
      </c>
      <c r="R123" s="4">
        <v>1.2540757461750688E-4</v>
      </c>
      <c r="S123" s="3"/>
      <c r="T123" s="3">
        <v>117</v>
      </c>
      <c r="U123" s="4">
        <v>7.2829131652661066E-3</v>
      </c>
      <c r="V123" s="3">
        <v>1864</v>
      </c>
    </row>
    <row r="124" spans="1:22" x14ac:dyDescent="0.3">
      <c r="A124" s="2">
        <v>46203</v>
      </c>
      <c r="B124" t="s">
        <v>342</v>
      </c>
      <c r="C124" t="s">
        <v>98</v>
      </c>
      <c r="D124" t="s">
        <v>99</v>
      </c>
      <c r="E124" t="str">
        <f t="shared" si="2"/>
        <v>Sport</v>
      </c>
      <c r="F124" t="str">
        <f t="shared" si="3"/>
        <v>LV</v>
      </c>
      <c r="G124" s="3">
        <v>49</v>
      </c>
      <c r="H124" s="3">
        <v>49</v>
      </c>
      <c r="I124" s="4">
        <v>1</v>
      </c>
      <c r="J124" s="3">
        <v>8</v>
      </c>
      <c r="K124" s="3">
        <v>11</v>
      </c>
      <c r="L124" s="3">
        <v>4</v>
      </c>
      <c r="M124" s="3">
        <v>5</v>
      </c>
      <c r="N124" s="4">
        <v>0.16326530612244897</v>
      </c>
      <c r="O124" s="4">
        <v>8.1632653061224483E-2</v>
      </c>
      <c r="P124" s="4">
        <v>0.5</v>
      </c>
      <c r="Q124" s="3"/>
      <c r="R124" s="4"/>
      <c r="S124" s="3"/>
      <c r="T124" s="3"/>
      <c r="U124" s="4"/>
      <c r="V124" s="3"/>
    </row>
    <row r="125" spans="1:22" x14ac:dyDescent="0.3">
      <c r="A125" s="2">
        <v>46203</v>
      </c>
      <c r="B125" t="s">
        <v>343</v>
      </c>
      <c r="C125" t="s">
        <v>101</v>
      </c>
      <c r="D125" t="s">
        <v>102</v>
      </c>
      <c r="E125" t="str">
        <f t="shared" si="2"/>
        <v>Sport</v>
      </c>
      <c r="F125" t="str">
        <f t="shared" si="3"/>
        <v>EU</v>
      </c>
      <c r="G125" s="3">
        <v>7</v>
      </c>
      <c r="H125" s="3">
        <v>7</v>
      </c>
      <c r="I125" s="4">
        <v>1</v>
      </c>
      <c r="J125" s="3">
        <v>4</v>
      </c>
      <c r="K125" s="3">
        <v>4</v>
      </c>
      <c r="L125" s="3">
        <v>1</v>
      </c>
      <c r="M125" s="3">
        <v>3</v>
      </c>
      <c r="N125" s="4">
        <v>0.5714285714285714</v>
      </c>
      <c r="O125" s="4">
        <v>0.14285714285714285</v>
      </c>
      <c r="P125" s="4">
        <v>0.25</v>
      </c>
      <c r="Q125" s="3"/>
      <c r="R125" s="4"/>
      <c r="S125" s="3"/>
      <c r="T125" s="3"/>
      <c r="U125" s="4"/>
      <c r="V125" s="3"/>
    </row>
    <row r="126" spans="1:22" x14ac:dyDescent="0.3">
      <c r="A126" s="2">
        <v>46203</v>
      </c>
      <c r="B126" t="s">
        <v>344</v>
      </c>
      <c r="C126" t="s">
        <v>104</v>
      </c>
      <c r="D126" t="s">
        <v>105</v>
      </c>
      <c r="E126" t="str">
        <f t="shared" si="2"/>
        <v>Sport</v>
      </c>
      <c r="F126" t="str">
        <f t="shared" si="3"/>
        <v>EE</v>
      </c>
      <c r="G126" s="3">
        <v>84</v>
      </c>
      <c r="H126" s="3">
        <v>84</v>
      </c>
      <c r="I126" s="4">
        <v>1</v>
      </c>
      <c r="J126" s="3">
        <v>21</v>
      </c>
      <c r="K126" s="3">
        <v>34</v>
      </c>
      <c r="L126" s="3">
        <v>3</v>
      </c>
      <c r="M126" s="3">
        <v>6</v>
      </c>
      <c r="N126" s="4">
        <v>0.25</v>
      </c>
      <c r="O126" s="4">
        <v>3.5714285714285712E-2</v>
      </c>
      <c r="P126" s="4">
        <v>0.14285714285714285</v>
      </c>
      <c r="Q126" s="3"/>
      <c r="R126" s="4"/>
      <c r="S126" s="3"/>
      <c r="T126" s="3"/>
      <c r="U126" s="4"/>
      <c r="V126" s="3"/>
    </row>
    <row r="127" spans="1:22" x14ac:dyDescent="0.3">
      <c r="A127" s="2">
        <v>46202</v>
      </c>
      <c r="B127" t="s">
        <v>345</v>
      </c>
      <c r="C127" t="s">
        <v>142</v>
      </c>
      <c r="D127" t="s">
        <v>143</v>
      </c>
      <c r="E127" t="str">
        <f t="shared" si="2"/>
        <v>Casino</v>
      </c>
      <c r="F127" t="str">
        <f t="shared" si="3"/>
        <v>LV</v>
      </c>
      <c r="G127" s="3">
        <v>2323</v>
      </c>
      <c r="H127" s="3">
        <v>2305</v>
      </c>
      <c r="I127" s="4">
        <v>0.99225139905294879</v>
      </c>
      <c r="J127" s="3">
        <v>422</v>
      </c>
      <c r="K127" s="3">
        <v>634</v>
      </c>
      <c r="L127" s="3">
        <v>101</v>
      </c>
      <c r="M127" s="3">
        <v>141</v>
      </c>
      <c r="N127" s="4">
        <v>0.18308026030368763</v>
      </c>
      <c r="O127" s="4">
        <v>4.3817787418655101E-2</v>
      </c>
      <c r="P127" s="4">
        <v>0.23933649289099526</v>
      </c>
      <c r="Q127" s="3"/>
      <c r="R127" s="4"/>
      <c r="S127" s="3"/>
      <c r="T127" s="3">
        <v>18</v>
      </c>
      <c r="U127" s="4">
        <v>7.748600947051227E-3</v>
      </c>
      <c r="V127" s="3">
        <v>266</v>
      </c>
    </row>
    <row r="128" spans="1:22" x14ac:dyDescent="0.3">
      <c r="A128" s="2">
        <v>46202</v>
      </c>
      <c r="B128" t="s">
        <v>346</v>
      </c>
      <c r="C128" t="s">
        <v>145</v>
      </c>
      <c r="D128" t="s">
        <v>146</v>
      </c>
      <c r="E128" t="str">
        <f t="shared" si="2"/>
        <v>Casino</v>
      </c>
      <c r="F128" t="str">
        <f t="shared" si="3"/>
        <v>EU</v>
      </c>
      <c r="G128" s="3">
        <v>70</v>
      </c>
      <c r="H128" s="3">
        <v>69</v>
      </c>
      <c r="I128" s="4">
        <v>0.98571428571428577</v>
      </c>
      <c r="J128" s="3">
        <v>29</v>
      </c>
      <c r="K128" s="3">
        <v>46</v>
      </c>
      <c r="L128" s="3">
        <v>3</v>
      </c>
      <c r="M128" s="3">
        <v>4</v>
      </c>
      <c r="N128" s="4">
        <v>0.42028985507246375</v>
      </c>
      <c r="O128" s="4">
        <v>4.3478260869565216E-2</v>
      </c>
      <c r="P128" s="4">
        <v>0.10344827586206896</v>
      </c>
      <c r="Q128" s="3"/>
      <c r="R128" s="4"/>
      <c r="S128" s="3"/>
      <c r="T128" s="3">
        <v>1</v>
      </c>
      <c r="U128" s="4">
        <v>1.4285714285714285E-2</v>
      </c>
      <c r="V128" s="3">
        <v>17</v>
      </c>
    </row>
    <row r="129" spans="1:22" x14ac:dyDescent="0.3">
      <c r="A129" s="2">
        <v>46202</v>
      </c>
      <c r="B129" t="s">
        <v>347</v>
      </c>
      <c r="C129" t="s">
        <v>148</v>
      </c>
      <c r="D129" t="s">
        <v>149</v>
      </c>
      <c r="E129" t="str">
        <f t="shared" ref="E129:E154" si="4">IF(OR(ISNUMBER(SEARCH("poker",C129)),ISNUMBER(SEARCH("poker",D129))),"Poker",IF(OR(ISNUMBER(SEARCH("sport",C129)),ISNUMBER(SEARCH("sport",D129)),ISNUMBER(SEARCH("esport",D129)),ISNUMBER(SEARCH("freebet",D129)),ISNUMBER(SEARCH(" FB",C129)),ISNUMBER(SEARCH("NBA",D129))),"Sport",IF(OR(ISNUMBER(SEARCH("casino",C129)),ISNUMBER(SEARCH("casino",D129)),ISNUMBER(SEARCH("slot",D129)),ISNUMBER(SEARCH("jackpot",D129))),"Casino","")))</f>
        <v>Casino</v>
      </c>
      <c r="F129" t="str">
        <f t="shared" ref="F129:F154" si="5">IFERROR(IF(ISNUMBER(SEARCH(" EE "," "&amp;SUBSTITUTE(D129,"/"," ")&amp;" ")),"EE",IF(ISNUMBER(SEARCH(" EU "," "&amp;SUBSTITUTE(D129,"/"," ")&amp;" ")),"EU",IF(ISNUMBER(SEARCH(" LV "," "&amp;SUBSTITUTE(D129,"/"," ")&amp;" ")),"LV",IF(ISNUMBER(SEARCH("estonia",C129&amp;D129)),"EE",IF(OR(ISNUMBER(SEARCH("finland",C129&amp;D129)),ISNUMBER(SEARCH(" EU",D129))),"EU",IF(ISNUMBER(SEARCH("latvia",C129&amp;D129)),"LV",IF(ISNUMBER(SEARCH("EE",D129)),"EE",IF(ISNUMBER(SEARCH("LV",D129)),"LV","")))))))),"")</f>
        <v>EE</v>
      </c>
      <c r="G129" s="3">
        <v>1651</v>
      </c>
      <c r="H129" s="3">
        <v>1640</v>
      </c>
      <c r="I129" s="4">
        <v>0.99333737129012722</v>
      </c>
      <c r="J129" s="3">
        <v>435</v>
      </c>
      <c r="K129" s="3">
        <v>640</v>
      </c>
      <c r="L129" s="3">
        <v>31</v>
      </c>
      <c r="M129" s="3">
        <v>54</v>
      </c>
      <c r="N129" s="4">
        <v>0.2652439024390244</v>
      </c>
      <c r="O129" s="4">
        <v>1.8902439024390243E-2</v>
      </c>
      <c r="P129" s="4">
        <v>7.1264367816091953E-2</v>
      </c>
      <c r="Q129" s="3"/>
      <c r="R129" s="4"/>
      <c r="S129" s="3"/>
      <c r="T129" s="3">
        <v>12</v>
      </c>
      <c r="U129" s="4">
        <v>7.2683222289521504E-3</v>
      </c>
      <c r="V129" s="3">
        <v>387</v>
      </c>
    </row>
    <row r="130" spans="1:22" x14ac:dyDescent="0.3">
      <c r="A130" s="2">
        <v>46202</v>
      </c>
      <c r="B130" t="s">
        <v>348</v>
      </c>
      <c r="C130" t="s">
        <v>349</v>
      </c>
      <c r="D130" t="s">
        <v>350</v>
      </c>
      <c r="E130" t="str">
        <f t="shared" si="4"/>
        <v>Casino</v>
      </c>
      <c r="F130" t="str">
        <f t="shared" si="5"/>
        <v>EU</v>
      </c>
      <c r="G130" s="3">
        <v>8</v>
      </c>
      <c r="H130" s="3">
        <v>8</v>
      </c>
      <c r="I130" s="4">
        <v>1</v>
      </c>
      <c r="J130" s="3"/>
      <c r="K130" s="3"/>
      <c r="L130" s="3"/>
      <c r="M130" s="3"/>
      <c r="N130" s="4"/>
      <c r="O130" s="4"/>
      <c r="P130" s="4"/>
      <c r="Q130" s="3"/>
      <c r="R130" s="4"/>
      <c r="S130" s="3"/>
      <c r="T130" s="3"/>
      <c r="U130" s="4"/>
      <c r="V130" s="3">
        <v>1</v>
      </c>
    </row>
    <row r="131" spans="1:22" x14ac:dyDescent="0.3">
      <c r="A131" s="2">
        <v>46202</v>
      </c>
      <c r="B131" t="s">
        <v>351</v>
      </c>
      <c r="C131" t="s">
        <v>349</v>
      </c>
      <c r="D131" t="s">
        <v>352</v>
      </c>
      <c r="E131" t="str">
        <f t="shared" si="4"/>
        <v>Casino</v>
      </c>
      <c r="F131" t="str">
        <f t="shared" si="5"/>
        <v>LV</v>
      </c>
      <c r="G131" s="3">
        <v>88</v>
      </c>
      <c r="H131" s="3">
        <v>88</v>
      </c>
      <c r="I131" s="4">
        <v>1</v>
      </c>
      <c r="J131" s="3">
        <v>18</v>
      </c>
      <c r="K131" s="3">
        <v>22</v>
      </c>
      <c r="L131" s="3">
        <v>8</v>
      </c>
      <c r="M131" s="3">
        <v>16</v>
      </c>
      <c r="N131" s="4">
        <v>0.20454545454545456</v>
      </c>
      <c r="O131" s="4">
        <v>9.0909090909090912E-2</v>
      </c>
      <c r="P131" s="4">
        <v>0.44444444444444442</v>
      </c>
      <c r="Q131" s="3"/>
      <c r="R131" s="4"/>
      <c r="S131" s="3"/>
      <c r="T131" s="3"/>
      <c r="U131" s="4"/>
      <c r="V131" s="3">
        <v>10</v>
      </c>
    </row>
    <row r="132" spans="1:22" x14ac:dyDescent="0.3">
      <c r="A132" s="2">
        <v>46202</v>
      </c>
      <c r="B132" t="s">
        <v>353</v>
      </c>
      <c r="C132" t="s">
        <v>354</v>
      </c>
      <c r="D132" t="s">
        <v>355</v>
      </c>
      <c r="E132" t="str">
        <f t="shared" si="4"/>
        <v>Casino</v>
      </c>
      <c r="F132" t="str">
        <f t="shared" si="5"/>
        <v>EE</v>
      </c>
      <c r="G132" s="3">
        <v>69</v>
      </c>
      <c r="H132" s="3">
        <v>69</v>
      </c>
      <c r="I132" s="4">
        <v>1</v>
      </c>
      <c r="J132" s="3">
        <v>22</v>
      </c>
      <c r="K132" s="3">
        <v>41</v>
      </c>
      <c r="L132" s="3">
        <v>12</v>
      </c>
      <c r="M132" s="3">
        <v>25</v>
      </c>
      <c r="N132" s="4">
        <v>0.3188405797101449</v>
      </c>
      <c r="O132" s="4">
        <v>0.17391304347826086</v>
      </c>
      <c r="P132" s="4">
        <v>0.54545454545454541</v>
      </c>
      <c r="Q132" s="3"/>
      <c r="R132" s="4"/>
      <c r="S132" s="3"/>
      <c r="T132" s="3"/>
      <c r="U132" s="4"/>
      <c r="V132" s="3">
        <v>25</v>
      </c>
    </row>
    <row r="133" spans="1:22" x14ac:dyDescent="0.3">
      <c r="A133" s="2">
        <v>46202</v>
      </c>
      <c r="B133" t="s">
        <v>356</v>
      </c>
      <c r="C133" t="s">
        <v>357</v>
      </c>
      <c r="D133" t="s">
        <v>358</v>
      </c>
      <c r="E133" t="str">
        <f t="shared" si="4"/>
        <v>Casino</v>
      </c>
      <c r="F133" t="str">
        <f t="shared" si="5"/>
        <v>EU</v>
      </c>
      <c r="G133" s="3">
        <v>1</v>
      </c>
      <c r="H133" s="3">
        <v>1</v>
      </c>
      <c r="I133" s="4">
        <v>1</v>
      </c>
      <c r="J133" s="3"/>
      <c r="K133" s="3"/>
      <c r="L133" s="3"/>
      <c r="M133" s="3"/>
      <c r="N133" s="4"/>
      <c r="O133" s="4"/>
      <c r="P133" s="4"/>
      <c r="Q133" s="3"/>
      <c r="R133" s="4"/>
      <c r="S133" s="3"/>
      <c r="T133" s="3"/>
      <c r="U133" s="4"/>
      <c r="V133" s="3">
        <v>1</v>
      </c>
    </row>
    <row r="134" spans="1:22" x14ac:dyDescent="0.3">
      <c r="A134" s="2">
        <v>46202</v>
      </c>
      <c r="B134" t="s">
        <v>359</v>
      </c>
      <c r="C134" t="s">
        <v>357</v>
      </c>
      <c r="D134" t="s">
        <v>360</v>
      </c>
      <c r="E134" t="str">
        <f t="shared" si="4"/>
        <v>Casino</v>
      </c>
      <c r="F134" t="str">
        <f t="shared" si="5"/>
        <v>LV</v>
      </c>
      <c r="G134" s="3">
        <v>52</v>
      </c>
      <c r="H134" s="3">
        <v>52</v>
      </c>
      <c r="I134" s="4">
        <v>1</v>
      </c>
      <c r="J134" s="3">
        <v>7</v>
      </c>
      <c r="K134" s="3">
        <v>12</v>
      </c>
      <c r="L134" s="3">
        <v>1</v>
      </c>
      <c r="M134" s="3">
        <v>1</v>
      </c>
      <c r="N134" s="4">
        <v>0.13461538461538461</v>
      </c>
      <c r="O134" s="4">
        <v>1.9230769230769232E-2</v>
      </c>
      <c r="P134" s="4">
        <v>0.14285714285714285</v>
      </c>
      <c r="Q134" s="3"/>
      <c r="R134" s="4"/>
      <c r="S134" s="3"/>
      <c r="T134" s="3"/>
      <c r="U134" s="4"/>
      <c r="V134" s="3">
        <v>9</v>
      </c>
    </row>
    <row r="135" spans="1:22" x14ac:dyDescent="0.3">
      <c r="A135" s="2">
        <v>46202</v>
      </c>
      <c r="B135" t="s">
        <v>361</v>
      </c>
      <c r="C135" t="s">
        <v>362</v>
      </c>
      <c r="D135" t="s">
        <v>363</v>
      </c>
      <c r="E135" t="str">
        <f t="shared" si="4"/>
        <v>Casino</v>
      </c>
      <c r="F135" t="str">
        <f t="shared" si="5"/>
        <v>EE</v>
      </c>
      <c r="G135" s="3">
        <v>29</v>
      </c>
      <c r="H135" s="3">
        <v>29</v>
      </c>
      <c r="I135" s="4">
        <v>1</v>
      </c>
      <c r="J135" s="3">
        <v>9</v>
      </c>
      <c r="K135" s="3">
        <v>12</v>
      </c>
      <c r="L135" s="3">
        <v>3</v>
      </c>
      <c r="M135" s="3">
        <v>5</v>
      </c>
      <c r="N135" s="4">
        <v>0.31034482758620691</v>
      </c>
      <c r="O135" s="4">
        <v>0.10344827586206896</v>
      </c>
      <c r="P135" s="4">
        <v>0.33333333333333331</v>
      </c>
      <c r="Q135" s="3"/>
      <c r="R135" s="4"/>
      <c r="S135" s="3"/>
      <c r="T135" s="3"/>
      <c r="U135" s="4"/>
      <c r="V135" s="3">
        <v>9</v>
      </c>
    </row>
    <row r="136" spans="1:22" x14ac:dyDescent="0.3">
      <c r="A136" s="2">
        <v>46202</v>
      </c>
      <c r="B136" t="s">
        <v>364</v>
      </c>
      <c r="C136" t="s">
        <v>365</v>
      </c>
      <c r="D136" t="s">
        <v>366</v>
      </c>
      <c r="E136" t="str">
        <f t="shared" si="4"/>
        <v>Casino</v>
      </c>
      <c r="F136" t="str">
        <f t="shared" si="5"/>
        <v>EU</v>
      </c>
      <c r="G136" s="3">
        <v>9</v>
      </c>
      <c r="H136" s="3">
        <v>9</v>
      </c>
      <c r="I136" s="4">
        <v>1</v>
      </c>
      <c r="J136" s="3">
        <v>1</v>
      </c>
      <c r="K136" s="3">
        <v>1</v>
      </c>
      <c r="L136" s="3"/>
      <c r="M136" s="3"/>
      <c r="N136" s="4">
        <v>0.1111111111111111</v>
      </c>
      <c r="O136" s="4"/>
      <c r="P136" s="4"/>
      <c r="Q136" s="3"/>
      <c r="R136" s="4"/>
      <c r="S136" s="3"/>
      <c r="T136" s="3"/>
      <c r="U136" s="4"/>
      <c r="V136" s="3"/>
    </row>
    <row r="137" spans="1:22" x14ac:dyDescent="0.3">
      <c r="A137" s="2">
        <v>46202</v>
      </c>
      <c r="B137" t="s">
        <v>367</v>
      </c>
      <c r="C137" t="s">
        <v>365</v>
      </c>
      <c r="D137" t="s">
        <v>368</v>
      </c>
      <c r="E137" t="str">
        <f t="shared" si="4"/>
        <v>Casino</v>
      </c>
      <c r="F137" t="str">
        <f t="shared" si="5"/>
        <v>LV</v>
      </c>
      <c r="G137" s="3">
        <v>231</v>
      </c>
      <c r="H137" s="3">
        <v>231</v>
      </c>
      <c r="I137" s="4">
        <v>1</v>
      </c>
      <c r="J137" s="3">
        <v>37</v>
      </c>
      <c r="K137" s="3">
        <v>51</v>
      </c>
      <c r="L137" s="3">
        <v>18</v>
      </c>
      <c r="M137" s="3">
        <v>33</v>
      </c>
      <c r="N137" s="4">
        <v>0.16017316017316016</v>
      </c>
      <c r="O137" s="4">
        <v>7.792207792207792E-2</v>
      </c>
      <c r="P137" s="4">
        <v>0.48648648648648651</v>
      </c>
      <c r="Q137" s="3"/>
      <c r="R137" s="4"/>
      <c r="S137" s="3"/>
      <c r="T137" s="3"/>
      <c r="U137" s="4"/>
      <c r="V137" s="3">
        <v>29</v>
      </c>
    </row>
    <row r="138" spans="1:22" x14ac:dyDescent="0.3">
      <c r="A138" s="2">
        <v>46202</v>
      </c>
      <c r="B138" t="s">
        <v>369</v>
      </c>
      <c r="C138" t="s">
        <v>370</v>
      </c>
      <c r="D138" t="s">
        <v>371</v>
      </c>
      <c r="E138" t="str">
        <f t="shared" si="4"/>
        <v>Casino</v>
      </c>
      <c r="F138" t="str">
        <f t="shared" si="5"/>
        <v>EE</v>
      </c>
      <c r="G138" s="3">
        <v>276</v>
      </c>
      <c r="H138" s="3">
        <v>273</v>
      </c>
      <c r="I138" s="4">
        <v>0.98913043478260865</v>
      </c>
      <c r="J138" s="3">
        <v>72</v>
      </c>
      <c r="K138" s="3">
        <v>120</v>
      </c>
      <c r="L138" s="3">
        <v>36</v>
      </c>
      <c r="M138" s="3">
        <v>70</v>
      </c>
      <c r="N138" s="4">
        <v>0.26373626373626374</v>
      </c>
      <c r="O138" s="4">
        <v>0.13186813186813187</v>
      </c>
      <c r="P138" s="4">
        <v>0.5</v>
      </c>
      <c r="Q138" s="3"/>
      <c r="R138" s="4"/>
      <c r="S138" s="3"/>
      <c r="T138" s="3">
        <v>3</v>
      </c>
      <c r="U138" s="4">
        <v>1.0869565217391304E-2</v>
      </c>
      <c r="V138" s="3">
        <v>58</v>
      </c>
    </row>
    <row r="139" spans="1:22" x14ac:dyDescent="0.3">
      <c r="A139" s="2">
        <v>46202</v>
      </c>
      <c r="B139" t="s">
        <v>372</v>
      </c>
      <c r="C139" t="s">
        <v>166</v>
      </c>
      <c r="D139" t="s">
        <v>167</v>
      </c>
      <c r="E139" t="str">
        <f t="shared" si="4"/>
        <v>Casino</v>
      </c>
      <c r="F139" t="str">
        <f t="shared" si="5"/>
        <v>LV</v>
      </c>
      <c r="G139" s="3">
        <v>139</v>
      </c>
      <c r="H139" s="3">
        <v>139</v>
      </c>
      <c r="I139" s="4">
        <v>1</v>
      </c>
      <c r="J139" s="3">
        <v>32</v>
      </c>
      <c r="K139" s="3">
        <v>47</v>
      </c>
      <c r="L139" s="3">
        <v>14</v>
      </c>
      <c r="M139" s="3">
        <v>21</v>
      </c>
      <c r="N139" s="4">
        <v>0.23021582733812951</v>
      </c>
      <c r="O139" s="4">
        <v>0.10071942446043165</v>
      </c>
      <c r="P139" s="4">
        <v>0.4375</v>
      </c>
      <c r="Q139" s="3"/>
      <c r="R139" s="4"/>
      <c r="S139" s="3"/>
      <c r="T139" s="3"/>
      <c r="U139" s="4"/>
      <c r="V139" s="3">
        <v>33</v>
      </c>
    </row>
    <row r="140" spans="1:22" x14ac:dyDescent="0.3">
      <c r="A140" s="2">
        <v>46202</v>
      </c>
      <c r="B140" t="s">
        <v>373</v>
      </c>
      <c r="C140" t="s">
        <v>169</v>
      </c>
      <c r="D140" t="s">
        <v>170</v>
      </c>
      <c r="E140" t="str">
        <f t="shared" si="4"/>
        <v>Casino</v>
      </c>
      <c r="F140" t="str">
        <f t="shared" si="5"/>
        <v>EU</v>
      </c>
      <c r="G140" s="3">
        <v>24</v>
      </c>
      <c r="H140" s="3">
        <v>24</v>
      </c>
      <c r="I140" s="4">
        <v>1</v>
      </c>
      <c r="J140" s="3">
        <v>6</v>
      </c>
      <c r="K140" s="3">
        <v>16</v>
      </c>
      <c r="L140" s="3">
        <v>3</v>
      </c>
      <c r="M140" s="3">
        <v>4</v>
      </c>
      <c r="N140" s="4">
        <v>0.25</v>
      </c>
      <c r="O140" s="4">
        <v>0.125</v>
      </c>
      <c r="P140" s="4">
        <v>0.5</v>
      </c>
      <c r="Q140" s="3"/>
      <c r="R140" s="4"/>
      <c r="S140" s="3"/>
      <c r="T140" s="3"/>
      <c r="U140" s="4"/>
      <c r="V140" s="3">
        <v>7</v>
      </c>
    </row>
    <row r="141" spans="1:22" x14ac:dyDescent="0.3">
      <c r="A141" s="2">
        <v>46202</v>
      </c>
      <c r="B141" t="s">
        <v>374</v>
      </c>
      <c r="C141" t="s">
        <v>172</v>
      </c>
      <c r="D141" t="s">
        <v>173</v>
      </c>
      <c r="E141" t="str">
        <f t="shared" si="4"/>
        <v>Casino</v>
      </c>
      <c r="F141" t="str">
        <f t="shared" si="5"/>
        <v>EE</v>
      </c>
      <c r="G141" s="3">
        <v>325</v>
      </c>
      <c r="H141" s="3">
        <v>325</v>
      </c>
      <c r="I141" s="4">
        <v>1</v>
      </c>
      <c r="J141" s="3">
        <v>136</v>
      </c>
      <c r="K141" s="3">
        <v>216</v>
      </c>
      <c r="L141" s="3">
        <v>10</v>
      </c>
      <c r="M141" s="3">
        <v>22</v>
      </c>
      <c r="N141" s="4">
        <v>0.41846153846153844</v>
      </c>
      <c r="O141" s="4">
        <v>3.0769230769230771E-2</v>
      </c>
      <c r="P141" s="4">
        <v>7.3529411764705885E-2</v>
      </c>
      <c r="Q141" s="3"/>
      <c r="R141" s="4"/>
      <c r="S141" s="3"/>
      <c r="T141" s="3">
        <v>1</v>
      </c>
      <c r="U141" s="4">
        <v>3.0769230769230769E-3</v>
      </c>
      <c r="V141" s="3">
        <v>75</v>
      </c>
    </row>
    <row r="142" spans="1:22" x14ac:dyDescent="0.3">
      <c r="A142" s="2">
        <v>46202</v>
      </c>
      <c r="B142" t="s">
        <v>375</v>
      </c>
      <c r="C142" t="s">
        <v>376</v>
      </c>
      <c r="D142" t="s">
        <v>377</v>
      </c>
      <c r="E142" t="str">
        <f t="shared" si="4"/>
        <v>Casino</v>
      </c>
      <c r="F142" t="str">
        <f t="shared" si="5"/>
        <v>EU</v>
      </c>
      <c r="G142" s="3">
        <v>4</v>
      </c>
      <c r="H142" s="3">
        <v>4</v>
      </c>
      <c r="I142" s="4">
        <v>1</v>
      </c>
      <c r="J142" s="3"/>
      <c r="K142" s="3"/>
      <c r="L142" s="3"/>
      <c r="M142" s="3"/>
      <c r="N142" s="4"/>
      <c r="O142" s="4"/>
      <c r="P142" s="4"/>
      <c r="Q142" s="3"/>
      <c r="R142" s="4"/>
      <c r="S142" s="3"/>
      <c r="T142" s="3"/>
      <c r="U142" s="4"/>
      <c r="V142" s="3">
        <v>3</v>
      </c>
    </row>
    <row r="143" spans="1:22" x14ac:dyDescent="0.3">
      <c r="A143" s="2">
        <v>46202</v>
      </c>
      <c r="B143" t="s">
        <v>378</v>
      </c>
      <c r="C143" t="s">
        <v>376</v>
      </c>
      <c r="D143" t="s">
        <v>379</v>
      </c>
      <c r="E143" t="str">
        <f t="shared" si="4"/>
        <v>Casino</v>
      </c>
      <c r="F143" t="str">
        <f t="shared" si="5"/>
        <v>LV</v>
      </c>
      <c r="G143" s="3">
        <v>24</v>
      </c>
      <c r="H143" s="3">
        <v>24</v>
      </c>
      <c r="I143" s="4">
        <v>1</v>
      </c>
      <c r="J143" s="3">
        <v>4</v>
      </c>
      <c r="K143" s="3">
        <v>5</v>
      </c>
      <c r="L143" s="3">
        <v>1</v>
      </c>
      <c r="M143" s="3">
        <v>1</v>
      </c>
      <c r="N143" s="4">
        <v>0.16666666666666666</v>
      </c>
      <c r="O143" s="4">
        <v>4.1666666666666664E-2</v>
      </c>
      <c r="P143" s="4">
        <v>0.25</v>
      </c>
      <c r="Q143" s="3"/>
      <c r="R143" s="4"/>
      <c r="S143" s="3"/>
      <c r="T143" s="3"/>
      <c r="U143" s="4"/>
      <c r="V143" s="3">
        <v>9</v>
      </c>
    </row>
    <row r="144" spans="1:22" x14ac:dyDescent="0.3">
      <c r="A144" s="2">
        <v>46202</v>
      </c>
      <c r="B144" t="s">
        <v>380</v>
      </c>
      <c r="C144" t="s">
        <v>381</v>
      </c>
      <c r="D144" t="s">
        <v>382</v>
      </c>
      <c r="E144" t="str">
        <f t="shared" si="4"/>
        <v>Casino</v>
      </c>
      <c r="F144" t="str">
        <f t="shared" si="5"/>
        <v>EE</v>
      </c>
      <c r="G144" s="3">
        <v>38</v>
      </c>
      <c r="H144" s="3">
        <v>37</v>
      </c>
      <c r="I144" s="4">
        <v>0.97368421052631582</v>
      </c>
      <c r="J144" s="3">
        <v>10</v>
      </c>
      <c r="K144" s="3">
        <v>18</v>
      </c>
      <c r="L144" s="3">
        <v>2</v>
      </c>
      <c r="M144" s="3">
        <v>2</v>
      </c>
      <c r="N144" s="4">
        <v>0.27027027027027029</v>
      </c>
      <c r="O144" s="4">
        <v>5.4054054054054057E-2</v>
      </c>
      <c r="P144" s="4">
        <v>0.2</v>
      </c>
      <c r="Q144" s="3"/>
      <c r="R144" s="4"/>
      <c r="S144" s="3"/>
      <c r="T144" s="3">
        <v>1</v>
      </c>
      <c r="U144" s="4">
        <v>2.6315789473684209E-2</v>
      </c>
      <c r="V144" s="3">
        <v>13</v>
      </c>
    </row>
    <row r="145" spans="1:22" x14ac:dyDescent="0.3">
      <c r="A145" s="2">
        <v>46202</v>
      </c>
      <c r="B145" t="s">
        <v>290</v>
      </c>
      <c r="C145" t="s">
        <v>283</v>
      </c>
      <c r="D145" t="s">
        <v>383</v>
      </c>
      <c r="E145" t="str">
        <f t="shared" si="4"/>
        <v>Sport</v>
      </c>
      <c r="F145" t="str">
        <f t="shared" si="5"/>
        <v>EE</v>
      </c>
      <c r="G145" s="3">
        <v>3829</v>
      </c>
      <c r="H145" s="3">
        <v>3828</v>
      </c>
      <c r="I145" s="4">
        <v>0.99973883520501439</v>
      </c>
      <c r="J145" s="3">
        <v>1023</v>
      </c>
      <c r="K145" s="3">
        <v>1385</v>
      </c>
      <c r="L145" s="3">
        <v>21</v>
      </c>
      <c r="M145" s="3">
        <v>81</v>
      </c>
      <c r="N145" s="4">
        <v>0.26724137931034481</v>
      </c>
      <c r="O145" s="4">
        <v>5.4858934169278997E-3</v>
      </c>
      <c r="P145" s="4">
        <v>2.0527859237536656E-2</v>
      </c>
      <c r="Q145" s="3"/>
      <c r="R145" s="4"/>
      <c r="S145" s="3"/>
      <c r="T145" s="3">
        <v>1</v>
      </c>
      <c r="U145" s="4">
        <v>2.6116479498563595E-4</v>
      </c>
      <c r="V145" s="3">
        <v>1</v>
      </c>
    </row>
    <row r="146" spans="1:22" x14ac:dyDescent="0.3">
      <c r="A146" s="2">
        <v>46202</v>
      </c>
      <c r="B146" t="s">
        <v>290</v>
      </c>
      <c r="C146" t="s">
        <v>283</v>
      </c>
      <c r="D146" t="s">
        <v>384</v>
      </c>
      <c r="E146" t="str">
        <f t="shared" si="4"/>
        <v>Sport</v>
      </c>
      <c r="F146" t="str">
        <f t="shared" si="5"/>
        <v>LV</v>
      </c>
      <c r="G146" s="3">
        <v>5300</v>
      </c>
      <c r="H146" s="3">
        <v>5293</v>
      </c>
      <c r="I146" s="4">
        <v>0.99867924528301888</v>
      </c>
      <c r="J146" s="3">
        <v>1120</v>
      </c>
      <c r="K146" s="3">
        <v>1472</v>
      </c>
      <c r="L146" s="3">
        <v>18</v>
      </c>
      <c r="M146" s="3">
        <v>29</v>
      </c>
      <c r="N146" s="4">
        <v>0.21160022671452863</v>
      </c>
      <c r="O146" s="4">
        <v>3.4007179293406384E-3</v>
      </c>
      <c r="P146" s="4">
        <v>1.607142857142857E-2</v>
      </c>
      <c r="Q146" s="3"/>
      <c r="R146" s="4"/>
      <c r="S146" s="3"/>
      <c r="T146" s="3">
        <v>7</v>
      </c>
      <c r="U146" s="4">
        <v>1.3207547169811322E-3</v>
      </c>
      <c r="V146" s="3"/>
    </row>
    <row r="147" spans="1:22" x14ac:dyDescent="0.3">
      <c r="A147" s="2">
        <v>46202</v>
      </c>
      <c r="B147" t="s">
        <v>385</v>
      </c>
      <c r="C147" t="s">
        <v>151</v>
      </c>
      <c r="D147" t="s">
        <v>386</v>
      </c>
      <c r="E147" t="str">
        <f t="shared" si="4"/>
        <v>Poker</v>
      </c>
      <c r="F147" t="str">
        <f t="shared" si="5"/>
        <v>EE</v>
      </c>
      <c r="G147" s="3">
        <v>765</v>
      </c>
      <c r="H147" s="3">
        <v>762</v>
      </c>
      <c r="I147" s="4">
        <v>0.99607843137254903</v>
      </c>
      <c r="J147" s="3">
        <v>206</v>
      </c>
      <c r="K147" s="3">
        <v>293</v>
      </c>
      <c r="L147" s="3">
        <v>7</v>
      </c>
      <c r="M147" s="3">
        <v>7</v>
      </c>
      <c r="N147" s="4">
        <v>0.27034120734908135</v>
      </c>
      <c r="O147" s="4">
        <v>9.1863517060367453E-3</v>
      </c>
      <c r="P147" s="4">
        <v>3.3980582524271843E-2</v>
      </c>
      <c r="Q147" s="3"/>
      <c r="R147" s="4"/>
      <c r="S147" s="3"/>
      <c r="T147" s="3">
        <v>3</v>
      </c>
      <c r="U147" s="4">
        <v>3.9215686274509803E-3</v>
      </c>
      <c r="V147" s="3">
        <v>232</v>
      </c>
    </row>
    <row r="148" spans="1:22" x14ac:dyDescent="0.3">
      <c r="A148" s="2">
        <v>46202</v>
      </c>
      <c r="B148" t="s">
        <v>385</v>
      </c>
      <c r="C148" t="s">
        <v>151</v>
      </c>
      <c r="D148" t="s">
        <v>387</v>
      </c>
      <c r="E148" t="str">
        <f t="shared" si="4"/>
        <v>Poker</v>
      </c>
      <c r="F148" t="str">
        <f t="shared" si="5"/>
        <v>EU</v>
      </c>
      <c r="G148" s="3">
        <v>452</v>
      </c>
      <c r="H148" s="3">
        <v>451</v>
      </c>
      <c r="I148" s="4">
        <v>0.99778761061946908</v>
      </c>
      <c r="J148" s="3">
        <v>141</v>
      </c>
      <c r="K148" s="3">
        <v>199</v>
      </c>
      <c r="L148" s="3">
        <v>3</v>
      </c>
      <c r="M148" s="3">
        <v>3</v>
      </c>
      <c r="N148" s="4">
        <v>0.31263858093126384</v>
      </c>
      <c r="O148" s="4">
        <v>6.6518847006651885E-3</v>
      </c>
      <c r="P148" s="4">
        <v>2.1276595744680851E-2</v>
      </c>
      <c r="Q148" s="3">
        <v>1</v>
      </c>
      <c r="R148" s="4">
        <v>2.2172949002217295E-3</v>
      </c>
      <c r="S148" s="3"/>
      <c r="T148" s="3">
        <v>1</v>
      </c>
      <c r="U148" s="4">
        <v>2.2123893805309734E-3</v>
      </c>
      <c r="V148" s="3">
        <v>83</v>
      </c>
    </row>
    <row r="149" spans="1:22" x14ac:dyDescent="0.3">
      <c r="A149" s="2">
        <v>46202</v>
      </c>
      <c r="B149" t="s">
        <v>385</v>
      </c>
      <c r="C149" t="s">
        <v>151</v>
      </c>
      <c r="D149" t="s">
        <v>388</v>
      </c>
      <c r="E149" t="str">
        <f t="shared" si="4"/>
        <v>Poker</v>
      </c>
      <c r="F149" t="str">
        <f t="shared" si="5"/>
        <v>LV</v>
      </c>
      <c r="G149" s="3">
        <v>676</v>
      </c>
      <c r="H149" s="3">
        <v>674</v>
      </c>
      <c r="I149" s="4">
        <v>0.99704142011834318</v>
      </c>
      <c r="J149" s="3">
        <v>126</v>
      </c>
      <c r="K149" s="3">
        <v>162</v>
      </c>
      <c r="L149" s="3">
        <v>5</v>
      </c>
      <c r="M149" s="3">
        <v>6</v>
      </c>
      <c r="N149" s="4">
        <v>0.18694362017804153</v>
      </c>
      <c r="O149" s="4">
        <v>7.4183976261127599E-3</v>
      </c>
      <c r="P149" s="4">
        <v>3.968253968253968E-2</v>
      </c>
      <c r="Q149" s="3"/>
      <c r="R149" s="4"/>
      <c r="S149" s="3"/>
      <c r="T149" s="3">
        <v>2</v>
      </c>
      <c r="U149" s="4">
        <v>2.9585798816568047E-3</v>
      </c>
      <c r="V149" s="3">
        <v>157</v>
      </c>
    </row>
    <row r="150" spans="1:22" x14ac:dyDescent="0.3">
      <c r="A150" s="2">
        <v>46202</v>
      </c>
      <c r="B150" t="s">
        <v>389</v>
      </c>
      <c r="C150" t="s">
        <v>276</v>
      </c>
      <c r="D150" t="s">
        <v>390</v>
      </c>
      <c r="E150" t="str">
        <f t="shared" si="4"/>
        <v>Poker</v>
      </c>
      <c r="F150" t="str">
        <f t="shared" si="5"/>
        <v>EU</v>
      </c>
      <c r="G150" s="3">
        <v>59</v>
      </c>
      <c r="H150" s="3">
        <v>59</v>
      </c>
      <c r="I150" s="4">
        <v>1</v>
      </c>
      <c r="J150" s="3">
        <v>21</v>
      </c>
      <c r="K150" s="3">
        <v>35</v>
      </c>
      <c r="L150" s="3">
        <v>7</v>
      </c>
      <c r="M150" s="3">
        <v>12</v>
      </c>
      <c r="N150" s="4">
        <v>0.3559322033898305</v>
      </c>
      <c r="O150" s="4">
        <v>0.11864406779661017</v>
      </c>
      <c r="P150" s="4">
        <v>0.33333333333333331</v>
      </c>
      <c r="Q150" s="3"/>
      <c r="R150" s="4"/>
      <c r="S150" s="3"/>
      <c r="T150" s="3"/>
      <c r="U150" s="4"/>
      <c r="V150" s="3">
        <v>5</v>
      </c>
    </row>
    <row r="151" spans="1:22" x14ac:dyDescent="0.3">
      <c r="A151" s="2">
        <v>46202</v>
      </c>
      <c r="B151" t="s">
        <v>391</v>
      </c>
      <c r="C151" t="s">
        <v>276</v>
      </c>
      <c r="D151" t="s">
        <v>392</v>
      </c>
      <c r="E151" t="str">
        <f t="shared" si="4"/>
        <v>Poker</v>
      </c>
      <c r="F151" t="str">
        <f t="shared" si="5"/>
        <v>EU</v>
      </c>
      <c r="G151" s="3">
        <v>9</v>
      </c>
      <c r="H151" s="3">
        <v>9</v>
      </c>
      <c r="I151" s="4">
        <v>1</v>
      </c>
      <c r="J151" s="3">
        <v>3</v>
      </c>
      <c r="K151" s="3">
        <v>5</v>
      </c>
      <c r="L151" s="3">
        <v>2</v>
      </c>
      <c r="M151" s="3">
        <v>3</v>
      </c>
      <c r="N151" s="4">
        <v>0.33333333333333331</v>
      </c>
      <c r="O151" s="4">
        <v>0.22222222222222221</v>
      </c>
      <c r="P151" s="4">
        <v>0.66666666666666663</v>
      </c>
      <c r="Q151" s="3"/>
      <c r="R151" s="4"/>
      <c r="S151" s="3"/>
      <c r="T151" s="3"/>
      <c r="U151" s="4"/>
      <c r="V151" s="3">
        <v>4</v>
      </c>
    </row>
    <row r="152" spans="1:22" x14ac:dyDescent="0.3">
      <c r="A152" s="2">
        <v>46202</v>
      </c>
      <c r="B152" t="s">
        <v>393</v>
      </c>
      <c r="C152" t="s">
        <v>276</v>
      </c>
      <c r="D152" t="s">
        <v>394</v>
      </c>
      <c r="E152" t="str">
        <f t="shared" si="4"/>
        <v>Poker</v>
      </c>
      <c r="F152" t="str">
        <f t="shared" si="5"/>
        <v>EU</v>
      </c>
      <c r="G152" s="3">
        <v>7</v>
      </c>
      <c r="H152" s="3">
        <v>7</v>
      </c>
      <c r="I152" s="4">
        <v>1</v>
      </c>
      <c r="J152" s="3">
        <v>1</v>
      </c>
      <c r="K152" s="3">
        <v>1</v>
      </c>
      <c r="L152" s="3">
        <v>1</v>
      </c>
      <c r="M152" s="3">
        <v>2</v>
      </c>
      <c r="N152" s="4">
        <v>0.14285714285714285</v>
      </c>
      <c r="O152" s="4">
        <v>0.14285714285714285</v>
      </c>
      <c r="P152" s="4">
        <v>1</v>
      </c>
      <c r="Q152" s="3"/>
      <c r="R152" s="4"/>
      <c r="S152" s="3"/>
      <c r="T152" s="3"/>
      <c r="U152" s="4"/>
      <c r="V152" s="3"/>
    </row>
    <row r="153" spans="1:22" x14ac:dyDescent="0.3">
      <c r="A153" s="2">
        <v>46202</v>
      </c>
      <c r="B153" t="s">
        <v>395</v>
      </c>
      <c r="C153" t="s">
        <v>276</v>
      </c>
      <c r="D153" t="s">
        <v>396</v>
      </c>
      <c r="E153" t="str">
        <f t="shared" si="4"/>
        <v>Poker</v>
      </c>
      <c r="F153" t="str">
        <f t="shared" si="5"/>
        <v>EU</v>
      </c>
      <c r="G153" s="3">
        <v>1</v>
      </c>
      <c r="H153" s="3">
        <v>1</v>
      </c>
      <c r="I153" s="4">
        <v>1</v>
      </c>
      <c r="J153" s="3"/>
      <c r="K153" s="3"/>
      <c r="L153" s="3"/>
      <c r="M153" s="3"/>
      <c r="N153" s="4"/>
      <c r="O153" s="4"/>
      <c r="P153" s="4"/>
      <c r="Q153" s="3"/>
      <c r="R153" s="4"/>
      <c r="S153" s="3"/>
      <c r="T153" s="3"/>
      <c r="U153" s="4"/>
      <c r="V153" s="3"/>
    </row>
    <row r="154" spans="1:22" x14ac:dyDescent="0.3">
      <c r="A154" s="2">
        <v>46202</v>
      </c>
      <c r="B154" t="s">
        <v>397</v>
      </c>
      <c r="C154" t="s">
        <v>276</v>
      </c>
      <c r="D154" t="s">
        <v>398</v>
      </c>
      <c r="E154" t="str">
        <f t="shared" si="4"/>
        <v>Poker</v>
      </c>
      <c r="F154" t="str">
        <f t="shared" si="5"/>
        <v>EU</v>
      </c>
      <c r="G154" s="3">
        <v>5</v>
      </c>
      <c r="H154" s="3">
        <v>5</v>
      </c>
      <c r="I154" s="4">
        <v>1</v>
      </c>
      <c r="J154" s="3">
        <v>2</v>
      </c>
      <c r="K154" s="3">
        <v>2</v>
      </c>
      <c r="L154" s="3"/>
      <c r="M154" s="3"/>
      <c r="N154" s="4">
        <v>0.4</v>
      </c>
      <c r="O154" s="4"/>
      <c r="P154" s="4"/>
      <c r="Q154" s="3"/>
      <c r="R154" s="4"/>
      <c r="S154" s="3"/>
      <c r="T154" s="3"/>
      <c r="U154" s="4"/>
      <c r="V154" s="3">
        <v>1</v>
      </c>
    </row>
  </sheetData>
  <autoFilter ref="A1:V1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Nazar Yevtushenko</cp:lastModifiedBy>
  <dcterms:modified xsi:type="dcterms:W3CDTF">2026-07-06T12:00:04Z</dcterms:modified>
</cp:coreProperties>
</file>